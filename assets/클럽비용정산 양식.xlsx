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002531\Downloads\"/>
    </mc:Choice>
  </mc:AlternateContent>
  <xr:revisionPtr revIDLastSave="0" documentId="13_ncr:1_{BD1543A8-7F8C-4DD8-8097-D33E8AF1979C}" xr6:coauthVersionLast="47" xr6:coauthVersionMax="47" xr10:uidLastSave="{00000000-0000-0000-0000-000000000000}"/>
  <bookViews>
    <workbookView xWindow="57480" yWindow="-120" windowWidth="29040" windowHeight="15720" activeTab="1" xr2:uid="{E55886AB-E20E-4A2C-88BD-EDD2C06AAD55}"/>
  </bookViews>
  <sheets>
    <sheet name="Revision" sheetId="5" r:id="rId1"/>
    <sheet name="비용내역" sheetId="2" r:id="rId2"/>
    <sheet name="행사사진" sheetId="3" r:id="rId3"/>
    <sheet name="영수증" sheetId="7" r:id="rId4"/>
    <sheet name="Global ID" sheetId="6" r:id="rId5"/>
  </sheets>
  <definedNames>
    <definedName name="_xlnm._FilterDatabase" localSheetId="4" hidden="1">'Global ID'!$A$1:$D$1316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2" l="1"/>
  <c r="C7" i="2" l="1"/>
  <c r="E5" i="2"/>
  <c r="C5" i="2"/>
  <c r="C6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D1316" i="6" l="1"/>
  <c r="D1315" i="6"/>
  <c r="D1314" i="6"/>
  <c r="D1313" i="6"/>
  <c r="D1312" i="6"/>
  <c r="D1311" i="6"/>
  <c r="D1310" i="6"/>
  <c r="D1309" i="6"/>
  <c r="D1308" i="6"/>
  <c r="D1307" i="6"/>
  <c r="D1306" i="6"/>
  <c r="D1305" i="6"/>
  <c r="D1304" i="6"/>
  <c r="D1303" i="6"/>
  <c r="D1302" i="6"/>
  <c r="D1301" i="6"/>
  <c r="D1300" i="6"/>
  <c r="D1299" i="6"/>
  <c r="D1298" i="6"/>
  <c r="D1297" i="6"/>
  <c r="D1296" i="6"/>
  <c r="D1295" i="6"/>
  <c r="D1294" i="6"/>
  <c r="D1293" i="6"/>
  <c r="D1292" i="6"/>
  <c r="D1291" i="6"/>
  <c r="D1290" i="6"/>
  <c r="D1289" i="6"/>
  <c r="D1288" i="6"/>
  <c r="D1287" i="6"/>
  <c r="D1286" i="6"/>
  <c r="D1285" i="6"/>
  <c r="D1284" i="6"/>
  <c r="D1283" i="6"/>
  <c r="D1282" i="6"/>
  <c r="D1281" i="6"/>
  <c r="D1280" i="6"/>
  <c r="D1279" i="6"/>
  <c r="D1278" i="6"/>
  <c r="D1277" i="6"/>
  <c r="D1276" i="6"/>
  <c r="D1275" i="6"/>
  <c r="D1274" i="6"/>
  <c r="D1273" i="6"/>
  <c r="D1272" i="6"/>
  <c r="D1271" i="6"/>
  <c r="D1270" i="6"/>
  <c r="D1269" i="6"/>
  <c r="D1268" i="6"/>
  <c r="D1267" i="6"/>
  <c r="D1266" i="6"/>
  <c r="D1265" i="6"/>
  <c r="D1264" i="6"/>
  <c r="D1263" i="6"/>
  <c r="D1262" i="6"/>
  <c r="D1261" i="6"/>
  <c r="D1260" i="6"/>
  <c r="D1259" i="6"/>
  <c r="D1258" i="6"/>
  <c r="D1257" i="6"/>
  <c r="D1256" i="6"/>
  <c r="D1255" i="6"/>
  <c r="D1254" i="6"/>
  <c r="D1253" i="6"/>
  <c r="D1252" i="6"/>
  <c r="D1251" i="6"/>
  <c r="D1250" i="6"/>
  <c r="D1249" i="6"/>
  <c r="D1248" i="6"/>
  <c r="D1247" i="6"/>
  <c r="D1246" i="6"/>
  <c r="D1245" i="6"/>
  <c r="D1244" i="6"/>
  <c r="D1243" i="6"/>
  <c r="D1242" i="6"/>
  <c r="D1241" i="6"/>
  <c r="D1240" i="6"/>
  <c r="D1239" i="6"/>
  <c r="D1238" i="6"/>
  <c r="D1237" i="6"/>
  <c r="D1236" i="6"/>
  <c r="D1235" i="6"/>
  <c r="D1234" i="6"/>
  <c r="D1233" i="6"/>
  <c r="D1232" i="6"/>
  <c r="D1231" i="6"/>
  <c r="D1230" i="6"/>
  <c r="D1229" i="6"/>
  <c r="D1228" i="6"/>
  <c r="D1227" i="6"/>
  <c r="D1226" i="6"/>
  <c r="D1225" i="6"/>
  <c r="D1224" i="6"/>
  <c r="D1223" i="6"/>
  <c r="D1222" i="6"/>
  <c r="D1221" i="6"/>
  <c r="D1220" i="6"/>
  <c r="D1219" i="6"/>
  <c r="D1218" i="6"/>
  <c r="D1217" i="6"/>
  <c r="D1216" i="6"/>
  <c r="D1215" i="6"/>
  <c r="D1214" i="6"/>
  <c r="D1213" i="6"/>
  <c r="D1212" i="6"/>
  <c r="D1211" i="6"/>
  <c r="D1210" i="6"/>
  <c r="D1209" i="6"/>
  <c r="D1208" i="6"/>
  <c r="D1207" i="6"/>
  <c r="D1206" i="6"/>
  <c r="D1205" i="6"/>
  <c r="D1204" i="6"/>
  <c r="D1203" i="6"/>
  <c r="D1202" i="6"/>
  <c r="D1201" i="6"/>
  <c r="D1200" i="6"/>
  <c r="D1199" i="6"/>
  <c r="D1198" i="6"/>
  <c r="D1197" i="6"/>
  <c r="D1196" i="6"/>
  <c r="D1195" i="6"/>
  <c r="D1194" i="6"/>
  <c r="D1193" i="6"/>
  <c r="D1192" i="6"/>
  <c r="D1191" i="6"/>
  <c r="D1190" i="6"/>
  <c r="D1189" i="6"/>
  <c r="D1188" i="6"/>
  <c r="D1187" i="6"/>
  <c r="D1186" i="6"/>
  <c r="D1185" i="6"/>
  <c r="D1184" i="6"/>
  <c r="D1183" i="6"/>
  <c r="D1182" i="6"/>
  <c r="D1181" i="6"/>
  <c r="D1180" i="6"/>
  <c r="D1179" i="6"/>
  <c r="D1178" i="6"/>
  <c r="D1177" i="6"/>
  <c r="D1176" i="6"/>
  <c r="D1175" i="6"/>
  <c r="D1174" i="6"/>
  <c r="D1173" i="6"/>
  <c r="D1172" i="6"/>
  <c r="D1171" i="6"/>
  <c r="D1170" i="6"/>
  <c r="D1169" i="6"/>
  <c r="D1168" i="6"/>
  <c r="D1167" i="6"/>
  <c r="D1166" i="6"/>
  <c r="D1165" i="6"/>
  <c r="D1164" i="6"/>
  <c r="D1163" i="6"/>
  <c r="D1162" i="6"/>
  <c r="D1161" i="6"/>
  <c r="D1160" i="6"/>
  <c r="D1159" i="6"/>
  <c r="D1158" i="6"/>
  <c r="D1157" i="6"/>
  <c r="D1156" i="6"/>
  <c r="D1155" i="6"/>
  <c r="D1154" i="6"/>
  <c r="D1153" i="6"/>
  <c r="D1152" i="6"/>
  <c r="D1151" i="6"/>
  <c r="D1150" i="6"/>
  <c r="D1149" i="6"/>
  <c r="D1148" i="6"/>
  <c r="D1147" i="6"/>
  <c r="D1146" i="6"/>
  <c r="D1145" i="6"/>
  <c r="D1144" i="6"/>
  <c r="D1143" i="6"/>
  <c r="D1142" i="6"/>
  <c r="D1141" i="6"/>
  <c r="D1140" i="6"/>
  <c r="D1139" i="6"/>
  <c r="D1138" i="6"/>
  <c r="D1137" i="6"/>
  <c r="D1136" i="6"/>
  <c r="D1135" i="6"/>
  <c r="D1134" i="6"/>
  <c r="D1133" i="6"/>
  <c r="D1132" i="6"/>
  <c r="D1131" i="6"/>
  <c r="D1130" i="6"/>
  <c r="D1129" i="6"/>
  <c r="D1128" i="6"/>
  <c r="D1127" i="6"/>
  <c r="D1126" i="6"/>
  <c r="D1125" i="6"/>
  <c r="D1124" i="6"/>
  <c r="D1123" i="6"/>
  <c r="D1122" i="6"/>
  <c r="D1121" i="6"/>
  <c r="D1120" i="6"/>
  <c r="D1119" i="6"/>
  <c r="D1118" i="6"/>
  <c r="D1117" i="6"/>
  <c r="D1116" i="6"/>
  <c r="D1115" i="6"/>
  <c r="D1114" i="6"/>
  <c r="D1113" i="6"/>
  <c r="D1112" i="6"/>
  <c r="D1111" i="6"/>
  <c r="D1110" i="6"/>
  <c r="D1109" i="6"/>
  <c r="D1108" i="6"/>
  <c r="D1107" i="6"/>
  <c r="D1106" i="6"/>
  <c r="D1105" i="6"/>
  <c r="D1104" i="6"/>
  <c r="D1103" i="6"/>
  <c r="D1102" i="6"/>
  <c r="D1101" i="6"/>
  <c r="D1100" i="6"/>
  <c r="D1099" i="6"/>
  <c r="D1098" i="6"/>
  <c r="D1097" i="6"/>
  <c r="D1096" i="6"/>
  <c r="D1095" i="6"/>
  <c r="D1094" i="6"/>
  <c r="D1093" i="6"/>
  <c r="D1092" i="6"/>
  <c r="D1091" i="6"/>
  <c r="D1090" i="6"/>
  <c r="D1089" i="6"/>
  <c r="D1088" i="6"/>
  <c r="D1087" i="6"/>
  <c r="D1086" i="6"/>
  <c r="D1085" i="6"/>
  <c r="D1084" i="6"/>
  <c r="D1083" i="6"/>
  <c r="D1082" i="6"/>
  <c r="D1081" i="6"/>
  <c r="D1080" i="6"/>
  <c r="D1079" i="6"/>
  <c r="D1078" i="6"/>
  <c r="D1077" i="6"/>
  <c r="D1076" i="6"/>
  <c r="D1075" i="6"/>
  <c r="D1074" i="6"/>
  <c r="D1073" i="6"/>
  <c r="D1072" i="6"/>
  <c r="D1071" i="6"/>
  <c r="D1070" i="6"/>
  <c r="D1069" i="6"/>
  <c r="D1068" i="6"/>
  <c r="D1067" i="6"/>
  <c r="D1066" i="6"/>
  <c r="D1065" i="6"/>
  <c r="D1064" i="6"/>
  <c r="D1063" i="6"/>
  <c r="D1062" i="6"/>
  <c r="D1061" i="6"/>
  <c r="D1060" i="6"/>
  <c r="D1059" i="6"/>
  <c r="D1058" i="6"/>
  <c r="D1057" i="6"/>
  <c r="D1056" i="6"/>
  <c r="D1055" i="6"/>
  <c r="D1054" i="6"/>
  <c r="D1053" i="6"/>
  <c r="D1052" i="6"/>
  <c r="D1051" i="6"/>
  <c r="D1050" i="6"/>
  <c r="D1049" i="6"/>
  <c r="D1048" i="6"/>
  <c r="D1047" i="6"/>
  <c r="D1046" i="6"/>
  <c r="D1045" i="6"/>
  <c r="D1044" i="6"/>
  <c r="D1043" i="6"/>
  <c r="D1042" i="6"/>
  <c r="D1041" i="6"/>
  <c r="D1040" i="6"/>
  <c r="D1039" i="6"/>
  <c r="D1038" i="6"/>
  <c r="D1037" i="6"/>
  <c r="D1036" i="6"/>
  <c r="D1035" i="6"/>
  <c r="D1034" i="6"/>
  <c r="D1033" i="6"/>
  <c r="D1032" i="6"/>
  <c r="D1031" i="6"/>
  <c r="D1030" i="6"/>
  <c r="D1029" i="6"/>
  <c r="D1028" i="6"/>
  <c r="D1027" i="6"/>
  <c r="D1026" i="6"/>
  <c r="D1025" i="6"/>
  <c r="D1024" i="6"/>
  <c r="D1023" i="6"/>
  <c r="D1022" i="6"/>
  <c r="D1021" i="6"/>
  <c r="D1020" i="6"/>
  <c r="D1019" i="6"/>
  <c r="D1018" i="6"/>
  <c r="D1017" i="6"/>
  <c r="D1016" i="6"/>
  <c r="D1015" i="6"/>
  <c r="D1014" i="6"/>
  <c r="D1013" i="6"/>
  <c r="D1012" i="6"/>
  <c r="D1011" i="6"/>
  <c r="D1010" i="6"/>
  <c r="D1009" i="6"/>
  <c r="D1008" i="6"/>
  <c r="D1007" i="6"/>
  <c r="D1006" i="6"/>
  <c r="D1005" i="6"/>
  <c r="D1004" i="6"/>
  <c r="D1003" i="6"/>
  <c r="D1002" i="6"/>
  <c r="D1001" i="6"/>
  <c r="D1000" i="6"/>
  <c r="D999" i="6"/>
  <c r="D998" i="6"/>
  <c r="D997" i="6"/>
  <c r="D996" i="6"/>
  <c r="D995" i="6"/>
  <c r="D994" i="6"/>
  <c r="D993" i="6"/>
  <c r="D992" i="6"/>
  <c r="D991" i="6"/>
  <c r="D990" i="6"/>
  <c r="D989" i="6"/>
  <c r="D988" i="6"/>
  <c r="D987" i="6"/>
  <c r="D986" i="6"/>
  <c r="D985" i="6"/>
  <c r="D984" i="6"/>
  <c r="D983" i="6"/>
  <c r="D982" i="6"/>
  <c r="D981" i="6"/>
  <c r="D980" i="6"/>
  <c r="D979" i="6"/>
  <c r="D978" i="6"/>
  <c r="D977" i="6"/>
  <c r="D976" i="6"/>
  <c r="D975" i="6"/>
  <c r="D974" i="6"/>
  <c r="D973" i="6"/>
  <c r="D972" i="6"/>
  <c r="D971" i="6"/>
  <c r="D970" i="6"/>
  <c r="D969" i="6"/>
  <c r="D968" i="6"/>
  <c r="D967" i="6"/>
  <c r="D966" i="6"/>
  <c r="D965" i="6"/>
  <c r="D964" i="6"/>
  <c r="D963" i="6"/>
  <c r="D962" i="6"/>
  <c r="D961" i="6"/>
  <c r="D960" i="6"/>
  <c r="D959" i="6"/>
  <c r="D958" i="6"/>
  <c r="D957" i="6"/>
  <c r="D956" i="6"/>
  <c r="D955" i="6"/>
  <c r="D954" i="6"/>
  <c r="D953" i="6"/>
  <c r="D952" i="6"/>
  <c r="D951" i="6"/>
  <c r="D950" i="6"/>
  <c r="D949" i="6"/>
  <c r="D948" i="6"/>
  <c r="D947" i="6"/>
  <c r="D946" i="6"/>
  <c r="D945" i="6"/>
  <c r="D944" i="6"/>
  <c r="D943" i="6"/>
  <c r="D942" i="6"/>
  <c r="D941" i="6"/>
  <c r="D940" i="6"/>
  <c r="D939" i="6"/>
  <c r="D938" i="6"/>
  <c r="D937" i="6"/>
  <c r="D936" i="6"/>
  <c r="D935" i="6"/>
  <c r="D934" i="6"/>
  <c r="D933" i="6"/>
  <c r="D932" i="6"/>
  <c r="D931" i="6"/>
  <c r="D930" i="6"/>
  <c r="D929" i="6"/>
  <c r="D928" i="6"/>
  <c r="D927" i="6"/>
  <c r="D926" i="6"/>
  <c r="D925" i="6"/>
  <c r="D924" i="6"/>
  <c r="D923" i="6"/>
  <c r="D922" i="6"/>
  <c r="D921" i="6"/>
  <c r="D920" i="6"/>
  <c r="D919" i="6"/>
  <c r="D918" i="6"/>
  <c r="D917" i="6"/>
  <c r="D916" i="6"/>
  <c r="D915" i="6"/>
  <c r="D914" i="6"/>
  <c r="D913" i="6"/>
  <c r="D912" i="6"/>
  <c r="D911" i="6"/>
  <c r="D910" i="6"/>
  <c r="D909" i="6"/>
  <c r="D908" i="6"/>
  <c r="D907" i="6"/>
  <c r="D906" i="6"/>
  <c r="D905" i="6"/>
  <c r="D904" i="6"/>
  <c r="D903" i="6"/>
  <c r="D902" i="6"/>
  <c r="D901" i="6"/>
  <c r="D900" i="6"/>
  <c r="D899" i="6"/>
  <c r="D898" i="6"/>
  <c r="D897" i="6"/>
  <c r="D896" i="6"/>
  <c r="D895" i="6"/>
  <c r="D894" i="6"/>
  <c r="D893" i="6"/>
  <c r="D892" i="6"/>
  <c r="D891" i="6"/>
  <c r="D890" i="6"/>
  <c r="D889" i="6"/>
  <c r="D888" i="6"/>
  <c r="D887" i="6"/>
  <c r="D886" i="6"/>
  <c r="D885" i="6"/>
  <c r="D884" i="6"/>
  <c r="D883" i="6"/>
  <c r="D882" i="6"/>
  <c r="D881" i="6"/>
  <c r="D880" i="6"/>
  <c r="D879" i="6"/>
  <c r="D878" i="6"/>
  <c r="D877" i="6"/>
  <c r="D876" i="6"/>
  <c r="D875" i="6"/>
  <c r="D874" i="6"/>
  <c r="D873" i="6"/>
  <c r="D872" i="6"/>
  <c r="D871" i="6"/>
  <c r="D870" i="6"/>
  <c r="D869" i="6"/>
  <c r="D868" i="6"/>
  <c r="D867" i="6"/>
  <c r="D866" i="6"/>
  <c r="D865" i="6"/>
  <c r="D864" i="6"/>
  <c r="D863" i="6"/>
  <c r="D862" i="6"/>
  <c r="D861" i="6"/>
  <c r="D860" i="6"/>
  <c r="D859" i="6"/>
  <c r="D858" i="6"/>
  <c r="D857" i="6"/>
  <c r="D856" i="6"/>
  <c r="D855" i="6"/>
  <c r="D854" i="6"/>
  <c r="D853" i="6"/>
  <c r="D852" i="6"/>
  <c r="D851" i="6"/>
  <c r="D850" i="6"/>
  <c r="D849" i="6"/>
  <c r="D848" i="6"/>
  <c r="D847" i="6"/>
  <c r="D846" i="6"/>
  <c r="D845" i="6"/>
  <c r="D844" i="6"/>
  <c r="D843" i="6"/>
  <c r="D842" i="6"/>
  <c r="D841" i="6"/>
  <c r="D840" i="6"/>
  <c r="D839" i="6"/>
  <c r="D838" i="6"/>
  <c r="D837" i="6"/>
  <c r="D836" i="6"/>
  <c r="D835" i="6"/>
  <c r="D834" i="6"/>
  <c r="D833" i="6"/>
  <c r="D832" i="6"/>
  <c r="D831" i="6"/>
  <c r="D830" i="6"/>
  <c r="D829" i="6"/>
  <c r="D828" i="6"/>
  <c r="D827" i="6"/>
  <c r="D826" i="6"/>
  <c r="D825" i="6"/>
  <c r="D824" i="6"/>
  <c r="D823" i="6"/>
  <c r="D822" i="6"/>
  <c r="D821" i="6"/>
  <c r="D820" i="6"/>
  <c r="D819" i="6"/>
  <c r="D818" i="6"/>
  <c r="D817" i="6"/>
  <c r="D816" i="6"/>
  <c r="D815" i="6"/>
  <c r="D814" i="6"/>
  <c r="D813" i="6"/>
  <c r="D812" i="6"/>
  <c r="D811" i="6"/>
  <c r="D810" i="6"/>
  <c r="D809" i="6"/>
  <c r="D808" i="6"/>
  <c r="D807" i="6"/>
  <c r="D806" i="6"/>
  <c r="D805" i="6"/>
  <c r="D804" i="6"/>
  <c r="D803" i="6"/>
  <c r="D802" i="6"/>
  <c r="D801" i="6"/>
  <c r="D800" i="6"/>
  <c r="D799" i="6"/>
  <c r="D798" i="6"/>
  <c r="D797" i="6"/>
  <c r="D796" i="6"/>
  <c r="D795" i="6"/>
  <c r="D794" i="6"/>
  <c r="D793" i="6"/>
  <c r="D792" i="6"/>
  <c r="D791" i="6"/>
  <c r="D790" i="6"/>
  <c r="D789" i="6"/>
  <c r="D788" i="6"/>
  <c r="D787" i="6"/>
  <c r="D786" i="6"/>
  <c r="D785" i="6"/>
  <c r="D784" i="6"/>
  <c r="D783" i="6"/>
  <c r="D782" i="6"/>
  <c r="D781" i="6"/>
  <c r="D780" i="6"/>
  <c r="D779" i="6"/>
  <c r="D778" i="6"/>
  <c r="D777" i="6"/>
  <c r="D776" i="6"/>
  <c r="D775" i="6"/>
  <c r="D774" i="6"/>
  <c r="D773" i="6"/>
  <c r="D772" i="6"/>
  <c r="D771" i="6"/>
  <c r="D770" i="6"/>
  <c r="D769" i="6"/>
  <c r="D768" i="6"/>
  <c r="D767" i="6"/>
  <c r="D766" i="6"/>
  <c r="D765" i="6"/>
  <c r="D764" i="6"/>
  <c r="D763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K4" i="2"/>
  <c r="J10" i="2"/>
  <c r="K9" i="2"/>
  <c r="K8" i="2"/>
  <c r="K7" i="2"/>
  <c r="K25" i="2"/>
  <c r="L9" i="2" l="1"/>
  <c r="K12" i="2" a="1"/>
  <c r="K12" i="2" s="1"/>
  <c r="L12" i="2" s="1" a="1"/>
  <c r="L12" i="2" s="1"/>
  <c r="K30" i="2"/>
  <c r="K17" i="2" l="1" a="1"/>
  <c r="K17" i="2" s="1"/>
  <c r="L17" i="2" s="1"/>
  <c r="K15" i="2" a="1"/>
  <c r="K15" i="2" s="1"/>
  <c r="L15" i="2" s="1"/>
  <c r="K16" i="2" a="1"/>
  <c r="K16" i="2" s="1"/>
  <c r="L16" i="2" s="1"/>
  <c r="K18" i="2" a="1"/>
  <c r="K18" i="2" s="1"/>
  <c r="L18" i="2" s="1"/>
  <c r="K21" i="2" l="1"/>
  <c r="K22" i="2" s="1"/>
  <c r="L25" i="2" s="1"/>
  <c r="K2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<sst xmlns="http://schemas.openxmlformats.org/spreadsheetml/2006/main" count="2673" uniqueCount="2630">
  <si>
    <t>정회원 참석자</t>
    <phoneticPr fontId="2" type="noConversion"/>
  </si>
  <si>
    <t>내역</t>
    <phoneticPr fontId="2" type="noConversion"/>
  </si>
  <si>
    <t>비용</t>
    <phoneticPr fontId="2" type="noConversion"/>
  </si>
  <si>
    <t>구분</t>
    <phoneticPr fontId="2" type="noConversion"/>
  </si>
  <si>
    <t>번호</t>
    <phoneticPr fontId="2" type="noConversion"/>
  </si>
  <si>
    <t>참석자 수 (A)</t>
    <phoneticPr fontId="2" type="noConversion"/>
  </si>
  <si>
    <t>총 비용 (B)</t>
    <phoneticPr fontId="2" type="noConversion"/>
  </si>
  <si>
    <t>행사비 (C)</t>
    <phoneticPr fontId="2" type="noConversion"/>
  </si>
  <si>
    <t>시설 및 장비 이용료 (D)</t>
    <phoneticPr fontId="2" type="noConversion"/>
  </si>
  <si>
    <t>상품(E)</t>
    <phoneticPr fontId="2" type="noConversion"/>
  </si>
  <si>
    <t>인당 행사비 (F)=(C)/(A)</t>
    <phoneticPr fontId="2" type="noConversion"/>
  </si>
  <si>
    <t>가. (F) ≤ 30,000원</t>
    <phoneticPr fontId="2" type="noConversion"/>
  </si>
  <si>
    <t>나. 30,000원 ＜ (F) ≤ 60,000원</t>
    <phoneticPr fontId="2" type="noConversion"/>
  </si>
  <si>
    <t>다. 60,000원 ＜ (F) ≤ 120,000원</t>
    <phoneticPr fontId="2" type="noConversion"/>
  </si>
  <si>
    <t>라. 120,000원 ＜ (F)</t>
    <phoneticPr fontId="2" type="noConversion"/>
  </si>
  <si>
    <t>인당 자부담 비용</t>
    <phoneticPr fontId="2" type="noConversion"/>
  </si>
  <si>
    <t>인당 구간 비용</t>
    <phoneticPr fontId="2" type="noConversion"/>
  </si>
  <si>
    <t>정산 구간</t>
    <phoneticPr fontId="2" type="noConversion"/>
  </si>
  <si>
    <t>총 회사 지원금</t>
    <phoneticPr fontId="2" type="noConversion"/>
  </si>
  <si>
    <t>날짜</t>
    <phoneticPr fontId="2" type="noConversion"/>
  </si>
  <si>
    <t>사용금액</t>
    <phoneticPr fontId="2" type="noConversion"/>
  </si>
  <si>
    <t>상품비 사용 이력</t>
    <phoneticPr fontId="2" type="noConversion"/>
  </si>
  <si>
    <t>!! 당해 년도 상품비 사용 이력이 있을 경우 반드시 입력 !!</t>
    <phoneticPr fontId="2" type="noConversion"/>
  </si>
  <si>
    <t>연노랑색 셀에만 입력</t>
    <phoneticPr fontId="2" type="noConversion"/>
  </si>
  <si>
    <t>사번</t>
    <phoneticPr fontId="2" type="noConversion"/>
  </si>
  <si>
    <t>※ 이 곳에 인원수를 확인할 수 있는 단체 사진을 첨부해 주세요</t>
    <phoneticPr fontId="2" type="noConversion"/>
  </si>
  <si>
    <t>※ 이 곳에 행사에 사용한 비용의 영수증을 첨부해 주세요</t>
    <phoneticPr fontId="2" type="noConversion"/>
  </si>
  <si>
    <t>실제 자부담 비용</t>
    <phoneticPr fontId="2" type="noConversion"/>
  </si>
  <si>
    <t>실제 자부담 비율</t>
    <phoneticPr fontId="2" type="noConversion"/>
  </si>
  <si>
    <t>인당 최소 자부담 비용</t>
    <phoneticPr fontId="2" type="noConversion"/>
  </si>
  <si>
    <t>총 최소 자부담 비용</t>
    <phoneticPr fontId="2" type="noConversion"/>
  </si>
  <si>
    <t>총 최소 자부담 비율</t>
    <phoneticPr fontId="2" type="noConversion"/>
  </si>
  <si>
    <t>Revision</t>
    <phoneticPr fontId="2" type="noConversion"/>
  </si>
  <si>
    <t>Description</t>
    <phoneticPr fontId="2" type="noConversion"/>
  </si>
  <si>
    <t>최초 작성</t>
    <phoneticPr fontId="2" type="noConversion"/>
  </si>
  <si>
    <t>실제 자부담비용 입력란 추가.
실제 자부담비용 입력 후 추가분/부족분 계산하여 정산 이상 유무 메시지 출력.
인당 최소 자부담 비용 필드 추가.
구간 정산 메시지 명확화 (변경 전: 60,000원 초과 금액에 대해 40% 자체 부담 → 변경 후: '나' 구간 자부담 비용 + 60,000원 초과 금액에 대해 40% 자체 부담)</t>
    <phoneticPr fontId="2" type="noConversion"/>
  </si>
  <si>
    <t>상품비 사용 기준 변경(20명 이상 → 10명 이상)에 따른 수식 변경</t>
    <phoneticPr fontId="2" type="noConversion"/>
  </si>
  <si>
    <t>Global ID</t>
  </si>
  <si>
    <t>EMP ID</t>
  </si>
  <si>
    <t>CG000424</t>
  </si>
  <si>
    <t>유충열</t>
  </si>
  <si>
    <t>CG000484</t>
  </si>
  <si>
    <t>김옥진</t>
  </si>
  <si>
    <t>CG000567</t>
  </si>
  <si>
    <t>조규석</t>
  </si>
  <si>
    <t>CG000611</t>
  </si>
  <si>
    <t>이해표</t>
  </si>
  <si>
    <t>CG000616</t>
  </si>
  <si>
    <t>이재욱</t>
  </si>
  <si>
    <t>CG000635</t>
  </si>
  <si>
    <t>정익순</t>
  </si>
  <si>
    <t>CG000664</t>
  </si>
  <si>
    <t>최영민</t>
  </si>
  <si>
    <t>CG000699</t>
  </si>
  <si>
    <t>오춘석</t>
  </si>
  <si>
    <t>CG000714</t>
  </si>
  <si>
    <t>유영종</t>
  </si>
  <si>
    <t>CG000715</t>
  </si>
  <si>
    <t>조천석</t>
  </si>
  <si>
    <t>CG000743</t>
  </si>
  <si>
    <t>김애란</t>
  </si>
  <si>
    <t>CG000766</t>
  </si>
  <si>
    <t>이은기</t>
  </si>
  <si>
    <t>CG000771</t>
  </si>
  <si>
    <t>신명옥</t>
  </si>
  <si>
    <t>CG000785</t>
  </si>
  <si>
    <t>민승배</t>
  </si>
  <si>
    <t>CG000795</t>
  </si>
  <si>
    <t>백두원</t>
  </si>
  <si>
    <t>CG000797</t>
  </si>
  <si>
    <t>김윤철</t>
  </si>
  <si>
    <t>CG000817</t>
  </si>
  <si>
    <t>진종희</t>
  </si>
  <si>
    <t>CG000859</t>
  </si>
  <si>
    <t>이정한</t>
  </si>
  <si>
    <t>CG000871</t>
  </si>
  <si>
    <t>이기철</t>
  </si>
  <si>
    <t>CG000887</t>
  </si>
  <si>
    <t>윤영신</t>
  </si>
  <si>
    <t>CG000890</t>
  </si>
  <si>
    <t>진승희</t>
  </si>
  <si>
    <t>CG000894</t>
  </si>
  <si>
    <t>권장석</t>
  </si>
  <si>
    <t>CG000905</t>
  </si>
  <si>
    <t>박조면</t>
  </si>
  <si>
    <t>CG000913</t>
  </si>
  <si>
    <t>이재식</t>
  </si>
  <si>
    <t>CG000920</t>
  </si>
  <si>
    <t>강창운</t>
  </si>
  <si>
    <t>CG000928</t>
  </si>
  <si>
    <t>김종희</t>
  </si>
  <si>
    <t>CG000930</t>
  </si>
  <si>
    <t>고상근</t>
  </si>
  <si>
    <t>CG000934</t>
  </si>
  <si>
    <t>박덕성</t>
  </si>
  <si>
    <t>CG000940</t>
  </si>
  <si>
    <t>박홍출</t>
  </si>
  <si>
    <t>CG000942</t>
  </si>
  <si>
    <t>주예린</t>
  </si>
  <si>
    <t>CG000960</t>
  </si>
  <si>
    <t>이동락</t>
  </si>
  <si>
    <t>CG000978</t>
  </si>
  <si>
    <t>이선옥</t>
  </si>
  <si>
    <t>CG000979</t>
  </si>
  <si>
    <t>이소연</t>
  </si>
  <si>
    <t>CG000999</t>
  </si>
  <si>
    <t>장보현</t>
  </si>
  <si>
    <t>CG001003</t>
  </si>
  <si>
    <t>전호빈</t>
  </si>
  <si>
    <t>CG001004</t>
  </si>
  <si>
    <t>김기온</t>
  </si>
  <si>
    <t>CG001007</t>
  </si>
  <si>
    <t>임진아</t>
  </si>
  <si>
    <t>CG001015</t>
  </si>
  <si>
    <t>이원재</t>
  </si>
  <si>
    <t>CG001026</t>
  </si>
  <si>
    <t>임원주</t>
  </si>
  <si>
    <t>CG001027</t>
  </si>
  <si>
    <t>문성필</t>
  </si>
  <si>
    <t>CG001048</t>
  </si>
  <si>
    <t>윤기영</t>
  </si>
  <si>
    <t>CG001049</t>
  </si>
  <si>
    <t>구희대</t>
  </si>
  <si>
    <t>CG001053</t>
  </si>
  <si>
    <t>여정수</t>
  </si>
  <si>
    <t>CG001054</t>
  </si>
  <si>
    <t>장대현</t>
  </si>
  <si>
    <t>CG001055</t>
  </si>
  <si>
    <t>강성귀</t>
  </si>
  <si>
    <t>CG001056</t>
  </si>
  <si>
    <t>이철</t>
  </si>
  <si>
    <t>CG001059</t>
  </si>
  <si>
    <t>장윤식</t>
  </si>
  <si>
    <t>CG001061</t>
  </si>
  <si>
    <t>한찬규</t>
  </si>
  <si>
    <t>CG001062</t>
  </si>
  <si>
    <t>이성곤</t>
  </si>
  <si>
    <t>CG001065</t>
  </si>
  <si>
    <t>나병길</t>
  </si>
  <si>
    <t>CG001066</t>
  </si>
  <si>
    <t>나상운</t>
  </si>
  <si>
    <t>CG001074</t>
  </si>
  <si>
    <t>문현태</t>
  </si>
  <si>
    <t>CG001075</t>
  </si>
  <si>
    <t>이원호</t>
  </si>
  <si>
    <t>CG001083</t>
  </si>
  <si>
    <t>김성주</t>
  </si>
  <si>
    <t>CG001091</t>
  </si>
  <si>
    <t>최영기</t>
  </si>
  <si>
    <t>CG001094</t>
  </si>
  <si>
    <t>김성수</t>
  </si>
  <si>
    <t>CG001098</t>
  </si>
  <si>
    <t>정석명</t>
  </si>
  <si>
    <t>CG001105</t>
  </si>
  <si>
    <t>이창구</t>
  </si>
  <si>
    <t>CG001111</t>
  </si>
  <si>
    <t>정준구</t>
  </si>
  <si>
    <t>CG001113</t>
  </si>
  <si>
    <t>나명채</t>
  </si>
  <si>
    <t>CG001114</t>
  </si>
  <si>
    <t>권혜정</t>
  </si>
  <si>
    <t>CG001117</t>
  </si>
  <si>
    <t>이승기</t>
  </si>
  <si>
    <t>CG001119</t>
  </si>
  <si>
    <t>이기영</t>
  </si>
  <si>
    <t>CG001120</t>
  </si>
  <si>
    <t>김유신</t>
  </si>
  <si>
    <t>CG001128</t>
  </si>
  <si>
    <t>임윤택</t>
  </si>
  <si>
    <t>CG001132</t>
  </si>
  <si>
    <t>유현덕</t>
  </si>
  <si>
    <t>CG001136</t>
  </si>
  <si>
    <t>홍중의</t>
  </si>
  <si>
    <t>CG001137</t>
  </si>
  <si>
    <t>이병헌</t>
  </si>
  <si>
    <t>CG001142</t>
  </si>
  <si>
    <t>공태경</t>
  </si>
  <si>
    <t>CG001147</t>
  </si>
  <si>
    <t>이일원</t>
  </si>
  <si>
    <t>CG001149</t>
  </si>
  <si>
    <t>김승열</t>
  </si>
  <si>
    <t>CG001150</t>
  </si>
  <si>
    <t>이숙헌</t>
  </si>
  <si>
    <t>CG001151</t>
  </si>
  <si>
    <t>이종수</t>
  </si>
  <si>
    <t>CG001155</t>
  </si>
  <si>
    <t>백은주</t>
  </si>
  <si>
    <t>CG001156</t>
  </si>
  <si>
    <t>김범룡</t>
  </si>
  <si>
    <t>CG001157</t>
  </si>
  <si>
    <t>최원호</t>
  </si>
  <si>
    <t>CG001158</t>
  </si>
  <si>
    <t>이태식</t>
  </si>
  <si>
    <t>CG001171</t>
  </si>
  <si>
    <t>이성호</t>
  </si>
  <si>
    <t>CG001177</t>
  </si>
  <si>
    <t>김상필</t>
  </si>
  <si>
    <t>CG001184</t>
  </si>
  <si>
    <t>오기원</t>
  </si>
  <si>
    <t>CG001190</t>
  </si>
  <si>
    <t>김창한</t>
  </si>
  <si>
    <t>CG001191</t>
  </si>
  <si>
    <t>심규남</t>
  </si>
  <si>
    <t>CG001192</t>
  </si>
  <si>
    <t>이봉찬</t>
  </si>
  <si>
    <t>CG001197</t>
  </si>
  <si>
    <t>함완식</t>
  </si>
  <si>
    <t>CG001200</t>
  </si>
  <si>
    <t>구성원</t>
  </si>
  <si>
    <t>CG001208</t>
  </si>
  <si>
    <t>엄태혁</t>
  </si>
  <si>
    <t>CG001214</t>
  </si>
  <si>
    <t>김기학</t>
  </si>
  <si>
    <t>CG001218</t>
  </si>
  <si>
    <t>김창희</t>
  </si>
  <si>
    <t>CG001219</t>
  </si>
  <si>
    <t>장현서</t>
  </si>
  <si>
    <t>CG001221</t>
  </si>
  <si>
    <t>박상진</t>
  </si>
  <si>
    <t>CG001223</t>
  </si>
  <si>
    <t>남광진</t>
  </si>
  <si>
    <t>CG001225</t>
  </si>
  <si>
    <t>김동식</t>
  </si>
  <si>
    <t>CG001229</t>
  </si>
  <si>
    <t>정아현</t>
  </si>
  <si>
    <t>CG001231</t>
  </si>
  <si>
    <t>김재환</t>
  </si>
  <si>
    <t>CG001232</t>
  </si>
  <si>
    <t>김봉식</t>
  </si>
  <si>
    <t>CG001236</t>
  </si>
  <si>
    <t>김귀항</t>
  </si>
  <si>
    <t>CG001247</t>
  </si>
  <si>
    <t>정석용</t>
  </si>
  <si>
    <t>CG001249</t>
  </si>
  <si>
    <t>조삼현</t>
  </si>
  <si>
    <t>CG001250</t>
  </si>
  <si>
    <t>이병익</t>
  </si>
  <si>
    <t>CG001260</t>
  </si>
  <si>
    <t>최병욱</t>
  </si>
  <si>
    <t>CG001265</t>
  </si>
  <si>
    <t>송주원</t>
  </si>
  <si>
    <t>CG001269</t>
  </si>
  <si>
    <t>임태승</t>
  </si>
  <si>
    <t>CG001271</t>
  </si>
  <si>
    <t>김병기</t>
  </si>
  <si>
    <t>CG001272</t>
  </si>
  <si>
    <t>정종현</t>
  </si>
  <si>
    <t>CG001277</t>
  </si>
  <si>
    <t>김광진</t>
  </si>
  <si>
    <t>CG001282</t>
  </si>
  <si>
    <t>장홍민</t>
  </si>
  <si>
    <t>CG001283</t>
  </si>
  <si>
    <t>정기현</t>
  </si>
  <si>
    <t>CG001284</t>
  </si>
  <si>
    <t>장치호</t>
  </si>
  <si>
    <t>CG001285</t>
  </si>
  <si>
    <t>표상규</t>
  </si>
  <si>
    <t>CG001287</t>
  </si>
  <si>
    <t>손해식</t>
  </si>
  <si>
    <t>CG001290</t>
  </si>
  <si>
    <t>김영환</t>
  </si>
  <si>
    <t>CG001293</t>
  </si>
  <si>
    <t>손문식</t>
  </si>
  <si>
    <t>CG001297</t>
  </si>
  <si>
    <t>문형환</t>
  </si>
  <si>
    <t>CG001305</t>
  </si>
  <si>
    <t>함병선</t>
  </si>
  <si>
    <t>CG001308</t>
  </si>
  <si>
    <t>임연섭</t>
  </si>
  <si>
    <t>CG001310</t>
  </si>
  <si>
    <t>권용범</t>
  </si>
  <si>
    <t>CG001317</t>
  </si>
  <si>
    <t>김규백</t>
  </si>
  <si>
    <t>CG001319</t>
  </si>
  <si>
    <t>홍순백</t>
  </si>
  <si>
    <t>CG001320</t>
  </si>
  <si>
    <t>김종구</t>
  </si>
  <si>
    <t>CG001323</t>
  </si>
  <si>
    <t>박종균</t>
  </si>
  <si>
    <t>CG001325</t>
  </si>
  <si>
    <t>박성일</t>
  </si>
  <si>
    <t>CG001338</t>
  </si>
  <si>
    <t>이명기</t>
  </si>
  <si>
    <t>CG001339</t>
  </si>
  <si>
    <t>임영덕</t>
  </si>
  <si>
    <t>CG001340</t>
  </si>
  <si>
    <t>조용대</t>
  </si>
  <si>
    <t>CG001341</t>
  </si>
  <si>
    <t>방춘식</t>
  </si>
  <si>
    <t>CG001343</t>
  </si>
  <si>
    <t>김민종</t>
  </si>
  <si>
    <t>CG001344</t>
  </si>
  <si>
    <t>이정수</t>
  </si>
  <si>
    <t>CG001358</t>
  </si>
  <si>
    <t>이남영</t>
  </si>
  <si>
    <t>CG001376</t>
  </si>
  <si>
    <t>서정호</t>
  </si>
  <si>
    <t>CG001377</t>
  </si>
  <si>
    <t>여인경</t>
  </si>
  <si>
    <t>CG001379</t>
  </si>
  <si>
    <t>송지태</t>
  </si>
  <si>
    <t>CG001380</t>
  </si>
  <si>
    <t>임재호</t>
  </si>
  <si>
    <t>CG001386</t>
  </si>
  <si>
    <t>김의석</t>
  </si>
  <si>
    <t>CG001387</t>
  </si>
  <si>
    <t>이헌용</t>
  </si>
  <si>
    <t>CG001390</t>
  </si>
  <si>
    <t>박성우</t>
  </si>
  <si>
    <t>CG001392</t>
  </si>
  <si>
    <t>이연미</t>
  </si>
  <si>
    <t>CG001397</t>
  </si>
  <si>
    <t>진건수</t>
  </si>
  <si>
    <t>CG001413</t>
  </si>
  <si>
    <t>김승룡</t>
  </si>
  <si>
    <t>CG001416</t>
  </si>
  <si>
    <t>홍상택</t>
  </si>
  <si>
    <t>CG001421</t>
  </si>
  <si>
    <t>장길호</t>
  </si>
  <si>
    <t>CG001425</t>
  </si>
  <si>
    <t>백용식</t>
  </si>
  <si>
    <t>CG001429</t>
  </si>
  <si>
    <t>윤수영</t>
  </si>
  <si>
    <t>CG001430</t>
  </si>
  <si>
    <t>김재형</t>
  </si>
  <si>
    <t>CG001434</t>
  </si>
  <si>
    <t>박정렬</t>
  </si>
  <si>
    <t>CG001436</t>
  </si>
  <si>
    <t>김광일</t>
  </si>
  <si>
    <t>CG001437</t>
  </si>
  <si>
    <t>권순기</t>
  </si>
  <si>
    <t>CG001442</t>
  </si>
  <si>
    <t>서용덕</t>
  </si>
  <si>
    <t>CG001443</t>
  </si>
  <si>
    <t>김정민</t>
  </si>
  <si>
    <t>CG001449</t>
  </si>
  <si>
    <t>손성필</t>
  </si>
  <si>
    <t>CG001450</t>
  </si>
  <si>
    <t>문용채</t>
  </si>
  <si>
    <t>CG001451</t>
  </si>
  <si>
    <t>배용관</t>
  </si>
  <si>
    <t>CG001454</t>
  </si>
  <si>
    <t>남만우</t>
  </si>
  <si>
    <t>CG001456</t>
  </si>
  <si>
    <t>이석호</t>
  </si>
  <si>
    <t>CG001460</t>
  </si>
  <si>
    <t>정우현</t>
  </si>
  <si>
    <t>CG001461</t>
  </si>
  <si>
    <t>강동구</t>
  </si>
  <si>
    <t>CG001464</t>
  </si>
  <si>
    <t>강정훈</t>
  </si>
  <si>
    <t>CG001466</t>
  </si>
  <si>
    <t>김정춘</t>
  </si>
  <si>
    <t>CG001467</t>
  </si>
  <si>
    <t>박종국</t>
  </si>
  <si>
    <t>CG001481</t>
  </si>
  <si>
    <t>이영돈</t>
  </si>
  <si>
    <t>CG001483</t>
  </si>
  <si>
    <t>서원상</t>
  </si>
  <si>
    <t>CG001487</t>
  </si>
  <si>
    <t>정승용</t>
  </si>
  <si>
    <t>CG001490</t>
  </si>
  <si>
    <t>연상준</t>
  </si>
  <si>
    <t>CG001492</t>
  </si>
  <si>
    <t>전해진</t>
  </si>
  <si>
    <t>CG001502</t>
  </si>
  <si>
    <t>이동채</t>
  </si>
  <si>
    <t>CG001504</t>
  </si>
  <si>
    <t>이재구</t>
  </si>
  <si>
    <t>CG001506</t>
  </si>
  <si>
    <t>박찬술</t>
  </si>
  <si>
    <t>CG001507</t>
  </si>
  <si>
    <t>김창기</t>
  </si>
  <si>
    <t>CG001509</t>
  </si>
  <si>
    <t>이재승</t>
  </si>
  <si>
    <t>CG001510</t>
  </si>
  <si>
    <t>강장희</t>
  </si>
  <si>
    <t>CG001513</t>
  </si>
  <si>
    <t>조영봉</t>
  </si>
  <si>
    <t>CG001515</t>
  </si>
  <si>
    <t>차재운</t>
  </si>
  <si>
    <t>CG001518</t>
  </si>
  <si>
    <t>최장근</t>
  </si>
  <si>
    <t>CG001527</t>
  </si>
  <si>
    <t>문윤섭</t>
  </si>
  <si>
    <t>CG001532</t>
  </si>
  <si>
    <t>이관오</t>
  </si>
  <si>
    <t>CG001543</t>
  </si>
  <si>
    <t>김병재</t>
  </si>
  <si>
    <t>CG001544</t>
  </si>
  <si>
    <t>하태광</t>
  </si>
  <si>
    <t>CG001546</t>
  </si>
  <si>
    <t>강영수</t>
  </si>
  <si>
    <t>CG001550</t>
  </si>
  <si>
    <t>이동수</t>
  </si>
  <si>
    <t>CG001554</t>
  </si>
  <si>
    <t>김지호</t>
  </si>
  <si>
    <t>CG001561</t>
  </si>
  <si>
    <t>권오상</t>
  </si>
  <si>
    <t>CG001563</t>
  </si>
  <si>
    <t>이창국</t>
  </si>
  <si>
    <t>CG001565</t>
  </si>
  <si>
    <t>노규숙</t>
  </si>
  <si>
    <t>CG001566</t>
  </si>
  <si>
    <t>박창훈</t>
  </si>
  <si>
    <t>CG001570</t>
  </si>
  <si>
    <t>윤서하</t>
  </si>
  <si>
    <t>CG001572</t>
  </si>
  <si>
    <t>이관석</t>
  </si>
  <si>
    <t>CG001573</t>
  </si>
  <si>
    <t>김찬수</t>
  </si>
  <si>
    <t>CG001574</t>
  </si>
  <si>
    <t>이진헌</t>
  </si>
  <si>
    <t>CG001575</t>
  </si>
  <si>
    <t>김진권</t>
  </si>
  <si>
    <t>CG001576</t>
  </si>
  <si>
    <t>최영학</t>
  </si>
  <si>
    <t>CG001577</t>
  </si>
  <si>
    <t>서장열</t>
  </si>
  <si>
    <t>CG001579</t>
  </si>
  <si>
    <t>김재혁</t>
  </si>
  <si>
    <t>CG001591</t>
  </si>
  <si>
    <t>한지은</t>
  </si>
  <si>
    <t>CG001592</t>
  </si>
  <si>
    <t>서은정</t>
  </si>
  <si>
    <t>CG001596</t>
  </si>
  <si>
    <t>김동학</t>
  </si>
  <si>
    <t>CG001597</t>
  </si>
  <si>
    <t>박춘원</t>
  </si>
  <si>
    <t>CG001598</t>
  </si>
  <si>
    <t>김홍열</t>
  </si>
  <si>
    <t>CG001602</t>
  </si>
  <si>
    <t>윤대웅</t>
  </si>
  <si>
    <t>CG001607</t>
  </si>
  <si>
    <t>CG001608</t>
  </si>
  <si>
    <t>나해문</t>
  </si>
  <si>
    <t>CG001610</t>
  </si>
  <si>
    <t>이호창</t>
  </si>
  <si>
    <t>CG001612</t>
  </si>
  <si>
    <t>허진</t>
  </si>
  <si>
    <t>CG001613</t>
  </si>
  <si>
    <t>이성철</t>
  </si>
  <si>
    <t>CG001614</t>
  </si>
  <si>
    <t>나은주</t>
  </si>
  <si>
    <t>CG001615</t>
  </si>
  <si>
    <t>김경준</t>
  </si>
  <si>
    <t>CG001616</t>
  </si>
  <si>
    <t>김희봉</t>
  </si>
  <si>
    <t>CG001617</t>
  </si>
  <si>
    <t>이형주</t>
  </si>
  <si>
    <t>CG001619</t>
  </si>
  <si>
    <t>백상기</t>
  </si>
  <si>
    <t>CG001623</t>
  </si>
  <si>
    <t>김형철</t>
  </si>
  <si>
    <t>CG001624</t>
  </si>
  <si>
    <t>서한</t>
  </si>
  <si>
    <t>CG001626</t>
  </si>
  <si>
    <t>윤주현</t>
  </si>
  <si>
    <t>CG001627</t>
  </si>
  <si>
    <t>이기남</t>
  </si>
  <si>
    <t>CG001628</t>
  </si>
  <si>
    <t>오형탁</t>
  </si>
  <si>
    <t>CG001629</t>
  </si>
  <si>
    <t>김유근</t>
  </si>
  <si>
    <t>CG001630</t>
  </si>
  <si>
    <t>황인천</t>
  </si>
  <si>
    <t>CG001631</t>
  </si>
  <si>
    <t>최영준</t>
  </si>
  <si>
    <t>CG001632</t>
  </si>
  <si>
    <t>신성욱</t>
  </si>
  <si>
    <t>CG001634</t>
  </si>
  <si>
    <t>신준철</t>
  </si>
  <si>
    <t>CG001637</t>
  </si>
  <si>
    <t>김우섭</t>
  </si>
  <si>
    <t>CG001645</t>
  </si>
  <si>
    <t>정지용</t>
  </si>
  <si>
    <t>CG001648</t>
  </si>
  <si>
    <t>김용연</t>
  </si>
  <si>
    <t>CG001652</t>
  </si>
  <si>
    <t>김웅호</t>
  </si>
  <si>
    <t>CG001653</t>
  </si>
  <si>
    <t>신하순</t>
  </si>
  <si>
    <t>CG001654</t>
  </si>
  <si>
    <t>안기석</t>
  </si>
  <si>
    <t>CG001655</t>
  </si>
  <si>
    <t>황정열</t>
  </si>
  <si>
    <t>CG001656</t>
  </si>
  <si>
    <t>김래현</t>
  </si>
  <si>
    <t>CG001664</t>
  </si>
  <si>
    <t>CG001665</t>
  </si>
  <si>
    <t>강치훈</t>
  </si>
  <si>
    <t>CG001669</t>
  </si>
  <si>
    <t>정상남</t>
  </si>
  <si>
    <t>CG001670</t>
  </si>
  <si>
    <t>신경아</t>
  </si>
  <si>
    <t>CG001671</t>
  </si>
  <si>
    <t>나정희</t>
  </si>
  <si>
    <t>CG001672</t>
  </si>
  <si>
    <t>고아라</t>
  </si>
  <si>
    <t>CG001675</t>
  </si>
  <si>
    <t>이수성</t>
  </si>
  <si>
    <t>CG001678</t>
  </si>
  <si>
    <t>신상휘</t>
  </si>
  <si>
    <t>CG001679</t>
  </si>
  <si>
    <t>김영근</t>
  </si>
  <si>
    <t>CG001680</t>
  </si>
  <si>
    <t>배영렬</t>
  </si>
  <si>
    <t>CG001683</t>
  </si>
  <si>
    <t>이명선</t>
  </si>
  <si>
    <t>CG001684</t>
  </si>
  <si>
    <t>홍준우</t>
  </si>
  <si>
    <t>CG001685</t>
  </si>
  <si>
    <t>조창환</t>
  </si>
  <si>
    <t>CG001686</t>
  </si>
  <si>
    <t>이민채</t>
  </si>
  <si>
    <t>CG001687</t>
  </si>
  <si>
    <t>양선호</t>
  </si>
  <si>
    <t>CG001688</t>
  </si>
  <si>
    <t>배상옥</t>
  </si>
  <si>
    <t>CG001691</t>
  </si>
  <si>
    <t>김연일</t>
  </si>
  <si>
    <t>CG001692</t>
  </si>
  <si>
    <t>홍중희</t>
  </si>
  <si>
    <t>CG001694</t>
  </si>
  <si>
    <t>유국재</t>
  </si>
  <si>
    <t>CG001695</t>
  </si>
  <si>
    <t>정환용</t>
  </si>
  <si>
    <t>CG001698</t>
  </si>
  <si>
    <t>김상환</t>
  </si>
  <si>
    <t>CG001700</t>
  </si>
  <si>
    <t>김재순</t>
  </si>
  <si>
    <t>CG001702</t>
  </si>
  <si>
    <t>이혁</t>
  </si>
  <si>
    <t>CG001703</t>
  </si>
  <si>
    <t>주병무</t>
  </si>
  <si>
    <t>CG001704</t>
  </si>
  <si>
    <t>백계탁</t>
  </si>
  <si>
    <t>CG001709</t>
  </si>
  <si>
    <t>오창호</t>
  </si>
  <si>
    <t>CG001712</t>
  </si>
  <si>
    <t>서재열</t>
  </si>
  <si>
    <t>CG001713</t>
  </si>
  <si>
    <t>김동현</t>
  </si>
  <si>
    <t>CG001715</t>
  </si>
  <si>
    <t>최정완</t>
  </si>
  <si>
    <t>CG001716</t>
  </si>
  <si>
    <t>양희웅</t>
  </si>
  <si>
    <t>CG001719</t>
  </si>
  <si>
    <t>김희경</t>
  </si>
  <si>
    <t>CG001720</t>
  </si>
  <si>
    <t>박광수</t>
  </si>
  <si>
    <t>CG001723</t>
  </si>
  <si>
    <t>윤성빈</t>
  </si>
  <si>
    <t>CG001726</t>
  </si>
  <si>
    <t>윤영준</t>
  </si>
  <si>
    <t>CG001728</t>
  </si>
  <si>
    <t>권혁상</t>
  </si>
  <si>
    <t>CG001732</t>
  </si>
  <si>
    <t>CG001736</t>
  </si>
  <si>
    <t>윤영복</t>
  </si>
  <si>
    <t>CG001737</t>
  </si>
  <si>
    <t>하명래</t>
  </si>
  <si>
    <t>CG001738</t>
  </si>
  <si>
    <t>김성남</t>
  </si>
  <si>
    <t>CG001740</t>
  </si>
  <si>
    <t>서희진</t>
  </si>
  <si>
    <t>CG001741</t>
  </si>
  <si>
    <t>신민석</t>
  </si>
  <si>
    <t>CG001742</t>
  </si>
  <si>
    <t>장창훈</t>
  </si>
  <si>
    <t>CG001745</t>
  </si>
  <si>
    <t>박광현</t>
  </si>
  <si>
    <t>CG001746</t>
  </si>
  <si>
    <t>이현상</t>
  </si>
  <si>
    <t>CG001748</t>
  </si>
  <si>
    <t>김희연</t>
  </si>
  <si>
    <t>CG001781</t>
  </si>
  <si>
    <t>나미화</t>
  </si>
  <si>
    <t>CG001786</t>
  </si>
  <si>
    <t>박미수</t>
  </si>
  <si>
    <t>CG001790</t>
  </si>
  <si>
    <t>안정숙</t>
  </si>
  <si>
    <t>CG001792</t>
  </si>
  <si>
    <t>백다연</t>
  </si>
  <si>
    <t>CG001794</t>
  </si>
  <si>
    <t>강명진</t>
  </si>
  <si>
    <t>CG001796</t>
  </si>
  <si>
    <t>김용자</t>
  </si>
  <si>
    <t>CG001799</t>
  </si>
  <si>
    <t>임영순</t>
  </si>
  <si>
    <t>CG001800</t>
  </si>
  <si>
    <t>이재련</t>
  </si>
  <si>
    <t>CG001802</t>
  </si>
  <si>
    <t>나혜령</t>
  </si>
  <si>
    <t>CG001803</t>
  </si>
  <si>
    <t>나지현</t>
  </si>
  <si>
    <t>CG001805</t>
  </si>
  <si>
    <t>박은진</t>
  </si>
  <si>
    <t>CG001806</t>
  </si>
  <si>
    <t>양예주</t>
  </si>
  <si>
    <t>CG001807</t>
  </si>
  <si>
    <t>강미애</t>
  </si>
  <si>
    <t>CG001808</t>
  </si>
  <si>
    <t>이경호</t>
  </si>
  <si>
    <t>CG001810</t>
  </si>
  <si>
    <t>김성룡</t>
  </si>
  <si>
    <t>CG001813</t>
  </si>
  <si>
    <t>이미숙</t>
  </si>
  <si>
    <t>CG001817</t>
  </si>
  <si>
    <t>박혜경</t>
  </si>
  <si>
    <t>CG001822</t>
  </si>
  <si>
    <t>박양식</t>
  </si>
  <si>
    <t>CG001823</t>
  </si>
  <si>
    <t>김세광</t>
  </si>
  <si>
    <t>CG001832</t>
  </si>
  <si>
    <t>문현화</t>
  </si>
  <si>
    <t>CG001839</t>
  </si>
  <si>
    <t>이소영</t>
  </si>
  <si>
    <t>CG001840</t>
  </si>
  <si>
    <t>김부덕</t>
  </si>
  <si>
    <t>CG001845</t>
  </si>
  <si>
    <t>박준범</t>
  </si>
  <si>
    <t>CG001846</t>
  </si>
  <si>
    <t>박철희</t>
  </si>
  <si>
    <t>CG001847</t>
  </si>
  <si>
    <t>이형훈</t>
  </si>
  <si>
    <t>CG001848</t>
  </si>
  <si>
    <t>이제호</t>
  </si>
  <si>
    <t>CG001849</t>
  </si>
  <si>
    <t>김현강</t>
  </si>
  <si>
    <t>CG001850</t>
  </si>
  <si>
    <t>홍금표</t>
  </si>
  <si>
    <t>CG001851</t>
  </si>
  <si>
    <t>신기원</t>
  </si>
  <si>
    <t>CG001852</t>
  </si>
  <si>
    <t>오광호</t>
  </si>
  <si>
    <t>CG001853</t>
  </si>
  <si>
    <t>송승민</t>
  </si>
  <si>
    <t>CG001854</t>
  </si>
  <si>
    <t>박광호</t>
  </si>
  <si>
    <t>CG001855</t>
  </si>
  <si>
    <t>강성민</t>
  </si>
  <si>
    <t>CG001863</t>
  </si>
  <si>
    <t>김연신</t>
  </si>
  <si>
    <t>CG001866</t>
  </si>
  <si>
    <t>김수현</t>
  </si>
  <si>
    <t>CG001869</t>
  </si>
  <si>
    <t>김진탁</t>
  </si>
  <si>
    <t>CG001873</t>
  </si>
  <si>
    <t>김기주</t>
  </si>
  <si>
    <t>CG001874</t>
  </si>
  <si>
    <t>김관규</t>
  </si>
  <si>
    <t>CG001875</t>
  </si>
  <si>
    <t>전유신</t>
  </si>
  <si>
    <t>CG001878</t>
  </si>
  <si>
    <t>김찬일</t>
  </si>
  <si>
    <t>CG001881</t>
  </si>
  <si>
    <t>정명석</t>
  </si>
  <si>
    <t>CG001882</t>
  </si>
  <si>
    <t>황종진</t>
  </si>
  <si>
    <t>CG001883</t>
  </si>
  <si>
    <t>황성오</t>
  </si>
  <si>
    <t>CG001885</t>
  </si>
  <si>
    <t>이은영</t>
  </si>
  <si>
    <t>CG001886</t>
  </si>
  <si>
    <t>기동훈</t>
  </si>
  <si>
    <t>CG001900</t>
  </si>
  <si>
    <t>서장옥</t>
  </si>
  <si>
    <t>CG001901</t>
  </si>
  <si>
    <t>최송호</t>
  </si>
  <si>
    <t>CG001903</t>
  </si>
  <si>
    <t>김상현</t>
  </si>
  <si>
    <t>CG001904</t>
  </si>
  <si>
    <t>류재술</t>
  </si>
  <si>
    <t>CG001907</t>
  </si>
  <si>
    <t>이창준</t>
  </si>
  <si>
    <t>CG001908</t>
  </si>
  <si>
    <t>양정현</t>
  </si>
  <si>
    <t>CG001911</t>
  </si>
  <si>
    <t>서순옥</t>
  </si>
  <si>
    <t>CG001913</t>
  </si>
  <si>
    <t>민선영</t>
  </si>
  <si>
    <t>CG001919</t>
  </si>
  <si>
    <t>김동완</t>
  </si>
  <si>
    <t>CG001920</t>
  </si>
  <si>
    <t>박지용</t>
  </si>
  <si>
    <t>CG001921</t>
  </si>
  <si>
    <t>구성도</t>
  </si>
  <si>
    <t>CG001922</t>
  </si>
  <si>
    <t>박영배</t>
  </si>
  <si>
    <t>CG001925</t>
  </si>
  <si>
    <t>김영삼</t>
  </si>
  <si>
    <t>CG001927</t>
  </si>
  <si>
    <t>김민</t>
  </si>
  <si>
    <t>CG001929</t>
  </si>
  <si>
    <t>CG001933</t>
  </si>
  <si>
    <t>김효천</t>
  </si>
  <si>
    <t>CG001934</t>
  </si>
  <si>
    <t>김경석</t>
  </si>
  <si>
    <t>CG001936</t>
  </si>
  <si>
    <t>이병옥</t>
  </si>
  <si>
    <t>CG001937</t>
  </si>
  <si>
    <t>박신중</t>
  </si>
  <si>
    <t>CG001940</t>
  </si>
  <si>
    <t>윤태진</t>
  </si>
  <si>
    <t>CG001941</t>
  </si>
  <si>
    <t>전덕제</t>
  </si>
  <si>
    <t>CG001945</t>
  </si>
  <si>
    <t>김태진</t>
  </si>
  <si>
    <t>CG001946</t>
  </si>
  <si>
    <t>노종서</t>
  </si>
  <si>
    <t>CG001951</t>
  </si>
  <si>
    <t>이창용</t>
  </si>
  <si>
    <t>CG001952</t>
  </si>
  <si>
    <t>조수연</t>
  </si>
  <si>
    <t>CG001955</t>
  </si>
  <si>
    <t>안효섭</t>
  </si>
  <si>
    <t>CG001956</t>
  </si>
  <si>
    <t>박연수</t>
  </si>
  <si>
    <t>CG001958</t>
  </si>
  <si>
    <t>정진열</t>
  </si>
  <si>
    <t>CG001960</t>
  </si>
  <si>
    <t>유종민</t>
  </si>
  <si>
    <t>CG001962</t>
  </si>
  <si>
    <t>박민주</t>
  </si>
  <si>
    <t>CG001964</t>
  </si>
  <si>
    <t>김태영</t>
  </si>
  <si>
    <t>CG001971</t>
  </si>
  <si>
    <t>최진원</t>
  </si>
  <si>
    <t>CG001976</t>
  </si>
  <si>
    <t>배소영</t>
  </si>
  <si>
    <t>CG001978</t>
  </si>
  <si>
    <t>이건욱</t>
  </si>
  <si>
    <t>CG001983</t>
  </si>
  <si>
    <t>전형재</t>
  </si>
  <si>
    <t>CG001985</t>
  </si>
  <si>
    <t>한성훈</t>
  </si>
  <si>
    <t>CG001989</t>
  </si>
  <si>
    <t>남인현</t>
  </si>
  <si>
    <t>CG001992</t>
  </si>
  <si>
    <t>민호철</t>
  </si>
  <si>
    <t>CG001993</t>
  </si>
  <si>
    <t>진영일</t>
  </si>
  <si>
    <t>CG001994</t>
  </si>
  <si>
    <t>서영조</t>
  </si>
  <si>
    <t>CG001995</t>
  </si>
  <si>
    <t>김미곤</t>
  </si>
  <si>
    <t>CG001996</t>
  </si>
  <si>
    <t>최정민</t>
  </si>
  <si>
    <t>CG001999</t>
  </si>
  <si>
    <t>김기덕</t>
  </si>
  <si>
    <t>CG002004</t>
  </si>
  <si>
    <t>김형섭</t>
  </si>
  <si>
    <t>CG002006</t>
  </si>
  <si>
    <t>나영호</t>
  </si>
  <si>
    <t>CG002008</t>
  </si>
  <si>
    <t>고주용</t>
  </si>
  <si>
    <t>CG002013</t>
  </si>
  <si>
    <t>김헌종</t>
  </si>
  <si>
    <t>CG002014</t>
  </si>
  <si>
    <t>박민선</t>
  </si>
  <si>
    <t>CG002019</t>
  </si>
  <si>
    <t>김봉희</t>
  </si>
  <si>
    <t>CG002021</t>
  </si>
  <si>
    <t>이치운</t>
  </si>
  <si>
    <t>CG002028</t>
  </si>
  <si>
    <t>박종택</t>
  </si>
  <si>
    <t>CG002029</t>
  </si>
  <si>
    <t>안계성</t>
  </si>
  <si>
    <t>CG002032</t>
  </si>
  <si>
    <t>오수민</t>
  </si>
  <si>
    <t>CG002040</t>
  </si>
  <si>
    <t>강치성</t>
  </si>
  <si>
    <t>CG002047</t>
  </si>
  <si>
    <t>김동선</t>
  </si>
  <si>
    <t>CG002048</t>
  </si>
  <si>
    <t>최상규</t>
  </si>
  <si>
    <t>CG002052</t>
  </si>
  <si>
    <t>김경희</t>
  </si>
  <si>
    <t>CG002054</t>
  </si>
  <si>
    <t>김석철</t>
  </si>
  <si>
    <t>CG002058</t>
  </si>
  <si>
    <t>문선영</t>
  </si>
  <si>
    <t>CG002067</t>
  </si>
  <si>
    <t>최진영</t>
  </si>
  <si>
    <t>CG002068</t>
  </si>
  <si>
    <t>이재윤</t>
  </si>
  <si>
    <t>CG002069</t>
  </si>
  <si>
    <t>박주언</t>
  </si>
  <si>
    <t>CG002070</t>
  </si>
  <si>
    <t>김시현</t>
  </si>
  <si>
    <t>CG002071</t>
  </si>
  <si>
    <t>서한성</t>
  </si>
  <si>
    <t>CG002072</t>
  </si>
  <si>
    <t>이정운</t>
  </si>
  <si>
    <t>CG002073</t>
  </si>
  <si>
    <t>정영식</t>
  </si>
  <si>
    <t>CG002076</t>
  </si>
  <si>
    <t>김혜정</t>
  </si>
  <si>
    <t>CG002090</t>
  </si>
  <si>
    <t>김미라</t>
  </si>
  <si>
    <t>CG002094</t>
  </si>
  <si>
    <t>박연실</t>
  </si>
  <si>
    <t>CG002097</t>
  </si>
  <si>
    <t>박순례</t>
  </si>
  <si>
    <t>CG002105</t>
  </si>
  <si>
    <t>양금덕</t>
  </si>
  <si>
    <t>CG002116</t>
  </si>
  <si>
    <t>김희철</t>
  </si>
  <si>
    <t>CG002118</t>
  </si>
  <si>
    <t>이충희</t>
  </si>
  <si>
    <t>CG002119</t>
  </si>
  <si>
    <t>조우석</t>
  </si>
  <si>
    <t>CG002120</t>
  </si>
  <si>
    <t>양종훈</t>
  </si>
  <si>
    <t>CG002121</t>
  </si>
  <si>
    <t>노광현</t>
  </si>
  <si>
    <t>CG002122</t>
  </si>
  <si>
    <t>김경민</t>
  </si>
  <si>
    <t>CG002123</t>
  </si>
  <si>
    <t>정창주</t>
  </si>
  <si>
    <t>CG002124</t>
  </si>
  <si>
    <t>정강호</t>
  </si>
  <si>
    <t>CG002126</t>
  </si>
  <si>
    <t>최종석</t>
  </si>
  <si>
    <t>CG002135</t>
  </si>
  <si>
    <t>손선심</t>
  </si>
  <si>
    <t>CG002141</t>
  </si>
  <si>
    <t>박효서</t>
  </si>
  <si>
    <t>CG002143</t>
  </si>
  <si>
    <t>안응섭</t>
  </si>
  <si>
    <t>CG002144</t>
  </si>
  <si>
    <t>황청원</t>
  </si>
  <si>
    <t>CG002145</t>
  </si>
  <si>
    <t>차지훈</t>
  </si>
  <si>
    <t>CG002150</t>
  </si>
  <si>
    <t>이혜란</t>
  </si>
  <si>
    <t>CG002152</t>
  </si>
  <si>
    <t>김광종</t>
  </si>
  <si>
    <t>CG002155</t>
  </si>
  <si>
    <t>최유준</t>
  </si>
  <si>
    <t>CG002156</t>
  </si>
  <si>
    <t>엄동혁</t>
  </si>
  <si>
    <t>CG002158</t>
  </si>
  <si>
    <t>채성우</t>
  </si>
  <si>
    <t>CG002159</t>
  </si>
  <si>
    <t>안진홍</t>
  </si>
  <si>
    <t>CG002165</t>
  </si>
  <si>
    <t>윤종민</t>
  </si>
  <si>
    <t>CG002168</t>
  </si>
  <si>
    <t>심정은</t>
  </si>
  <si>
    <t>CG002169</t>
  </si>
  <si>
    <t>CG002171</t>
  </si>
  <si>
    <t>김충식</t>
  </si>
  <si>
    <t>CG002172</t>
  </si>
  <si>
    <t>김제근</t>
  </si>
  <si>
    <t>CG002174</t>
  </si>
  <si>
    <t>박민석</t>
  </si>
  <si>
    <t>CG002175</t>
  </si>
  <si>
    <t>김순영</t>
  </si>
  <si>
    <t>CG002177</t>
  </si>
  <si>
    <t>신종철</t>
  </si>
  <si>
    <t>CG002178</t>
  </si>
  <si>
    <t>민경수</t>
  </si>
  <si>
    <t>CG002184</t>
  </si>
  <si>
    <t>박재동</t>
  </si>
  <si>
    <t>CG002186</t>
  </si>
  <si>
    <t>황태준</t>
  </si>
  <si>
    <t>CG002187</t>
  </si>
  <si>
    <t>박수만</t>
  </si>
  <si>
    <t>CG002188</t>
  </si>
  <si>
    <t>손창현</t>
  </si>
  <si>
    <t>CG002189</t>
  </si>
  <si>
    <t>이경욱</t>
  </si>
  <si>
    <t>CG002192</t>
  </si>
  <si>
    <t>김수진</t>
  </si>
  <si>
    <t>CG002199</t>
  </si>
  <si>
    <t>이재선</t>
  </si>
  <si>
    <t>CG002200</t>
  </si>
  <si>
    <t>나희준</t>
  </si>
  <si>
    <t>CG002201</t>
  </si>
  <si>
    <t>이호철</t>
  </si>
  <si>
    <t>CG002205</t>
  </si>
  <si>
    <t>황성학</t>
  </si>
  <si>
    <t>CG002207</t>
  </si>
  <si>
    <t>윤윤식</t>
  </si>
  <si>
    <t>CG002208</t>
  </si>
  <si>
    <t>이종호</t>
  </si>
  <si>
    <t>CG002220</t>
  </si>
  <si>
    <t>CG002228</t>
  </si>
  <si>
    <t>이태길</t>
  </si>
  <si>
    <t>CG002230</t>
  </si>
  <si>
    <t>김영숙</t>
  </si>
  <si>
    <t>CG002231</t>
  </si>
  <si>
    <t>서형진</t>
  </si>
  <si>
    <t>CG002233</t>
  </si>
  <si>
    <t>곽태성</t>
  </si>
  <si>
    <t>CG002234</t>
  </si>
  <si>
    <t>임문기</t>
  </si>
  <si>
    <t>CG002235</t>
  </si>
  <si>
    <t>강용</t>
  </si>
  <si>
    <t>CG002241</t>
  </si>
  <si>
    <t>김현석</t>
  </si>
  <si>
    <t>CG002245</t>
  </si>
  <si>
    <t>이지영</t>
  </si>
  <si>
    <t>CG002246</t>
  </si>
  <si>
    <t>손우상</t>
  </si>
  <si>
    <t>CG002247</t>
  </si>
  <si>
    <t>CG002250</t>
  </si>
  <si>
    <t>전세호</t>
  </si>
  <si>
    <t>CG002252</t>
  </si>
  <si>
    <t>홍기원</t>
  </si>
  <si>
    <t>CG002253</t>
  </si>
  <si>
    <t>김정수</t>
  </si>
  <si>
    <t>CG002255</t>
  </si>
  <si>
    <t>문영진</t>
  </si>
  <si>
    <t>CG002256</t>
  </si>
  <si>
    <t>송종운</t>
  </si>
  <si>
    <t>CG002260</t>
  </si>
  <si>
    <t>이양숙</t>
  </si>
  <si>
    <t>CG002261</t>
  </si>
  <si>
    <t>김정희</t>
  </si>
  <si>
    <t>CG002263</t>
  </si>
  <si>
    <t>이미자</t>
  </si>
  <si>
    <t>CG002272</t>
  </si>
  <si>
    <t>오택진</t>
  </si>
  <si>
    <t>CG002277</t>
  </si>
  <si>
    <t>우경주</t>
  </si>
  <si>
    <t>CG002279</t>
  </si>
  <si>
    <t>우균하</t>
  </si>
  <si>
    <t>CG002281</t>
  </si>
  <si>
    <t>윤진호</t>
  </si>
  <si>
    <t>CG002284</t>
  </si>
  <si>
    <t>김진성</t>
  </si>
  <si>
    <t>CG002286</t>
  </si>
  <si>
    <t>이원록</t>
  </si>
  <si>
    <t>CG002288</t>
  </si>
  <si>
    <t>정병호</t>
  </si>
  <si>
    <t>CG002289</t>
  </si>
  <si>
    <t>박환수</t>
  </si>
  <si>
    <t>CG002290</t>
  </si>
  <si>
    <t>최상수</t>
  </si>
  <si>
    <t>CG002291</t>
  </si>
  <si>
    <t>이훈중</t>
  </si>
  <si>
    <t>CG002296</t>
  </si>
  <si>
    <t>박훈</t>
  </si>
  <si>
    <t>CG002298</t>
  </si>
  <si>
    <t>문경호</t>
  </si>
  <si>
    <t>CG002300</t>
  </si>
  <si>
    <t>민병진</t>
  </si>
  <si>
    <t>CG002303</t>
  </si>
  <si>
    <t>송순용</t>
  </si>
  <si>
    <t>CG002304</t>
  </si>
  <si>
    <t>김재훈</t>
  </si>
  <si>
    <t>CG002318</t>
  </si>
  <si>
    <t>권혁준</t>
  </si>
  <si>
    <t>CG002321</t>
  </si>
  <si>
    <t>마미현</t>
  </si>
  <si>
    <t>CG002323</t>
  </si>
  <si>
    <t>김동우</t>
  </si>
  <si>
    <t>CG002325</t>
  </si>
  <si>
    <t>이수희</t>
  </si>
  <si>
    <t>CG002329</t>
  </si>
  <si>
    <t>황인선</t>
  </si>
  <si>
    <t>CG002330</t>
  </si>
  <si>
    <t>김훈</t>
  </si>
  <si>
    <t>CG002333</t>
  </si>
  <si>
    <t>강명균</t>
  </si>
  <si>
    <t>CG002334</t>
  </si>
  <si>
    <t>정영환</t>
  </si>
  <si>
    <t>CG002335</t>
  </si>
  <si>
    <t>임동록</t>
  </si>
  <si>
    <t>CG002338</t>
  </si>
  <si>
    <t>최용훈</t>
  </si>
  <si>
    <t>CG002339</t>
  </si>
  <si>
    <t>조용현</t>
  </si>
  <si>
    <t>CG002340</t>
  </si>
  <si>
    <t>김진우</t>
  </si>
  <si>
    <t>CG002341</t>
  </si>
  <si>
    <t>CG002343</t>
  </si>
  <si>
    <t>홍현진</t>
  </si>
  <si>
    <t>CG002344</t>
  </si>
  <si>
    <t>김준형</t>
  </si>
  <si>
    <t>CG002347</t>
  </si>
  <si>
    <t>이수원</t>
  </si>
  <si>
    <t>CG002349</t>
  </si>
  <si>
    <t>우영태</t>
  </si>
  <si>
    <t>CG002351</t>
  </si>
  <si>
    <t>이상택</t>
  </si>
  <si>
    <t>CG002353</t>
  </si>
  <si>
    <t>박준형</t>
  </si>
  <si>
    <t>CG002354</t>
  </si>
  <si>
    <t>이상길</t>
  </si>
  <si>
    <t>CG002355</t>
  </si>
  <si>
    <t>문희철</t>
  </si>
  <si>
    <t>CG002356</t>
  </si>
  <si>
    <t>이일범</t>
  </si>
  <si>
    <t>CG002357</t>
  </si>
  <si>
    <t>전승현</t>
  </si>
  <si>
    <t>CG002360</t>
  </si>
  <si>
    <t>안순섭</t>
  </si>
  <si>
    <t>CG002362</t>
  </si>
  <si>
    <t>전성운</t>
  </si>
  <si>
    <t>CG002363</t>
  </si>
  <si>
    <t>한호성</t>
  </si>
  <si>
    <t>CG002364</t>
  </si>
  <si>
    <t>김기혁</t>
  </si>
  <si>
    <t>CG002365</t>
  </si>
  <si>
    <t>박경원</t>
  </si>
  <si>
    <t>CG002367</t>
  </si>
  <si>
    <t>김영옥</t>
  </si>
  <si>
    <t>CG002368</t>
  </si>
  <si>
    <t>이언화</t>
  </si>
  <si>
    <t>CG002369</t>
  </si>
  <si>
    <t>남효주</t>
  </si>
  <si>
    <t>CG002371</t>
  </si>
  <si>
    <t>이정헌</t>
  </si>
  <si>
    <t>CG002380</t>
  </si>
  <si>
    <t>강동현</t>
  </si>
  <si>
    <t>CG002381</t>
  </si>
  <si>
    <t>오승준</t>
  </si>
  <si>
    <t>CG002382</t>
  </si>
  <si>
    <t>유상두</t>
  </si>
  <si>
    <t>CG002384</t>
  </si>
  <si>
    <t>이영삼</t>
  </si>
  <si>
    <t>CG002386</t>
  </si>
  <si>
    <t>이진택</t>
  </si>
  <si>
    <t>CG002388</t>
  </si>
  <si>
    <t>문주현</t>
  </si>
  <si>
    <t>CG002391</t>
  </si>
  <si>
    <t>이정희</t>
  </si>
  <si>
    <t>CG002395</t>
  </si>
  <si>
    <t>정철중</t>
  </si>
  <si>
    <t>CG002397</t>
  </si>
  <si>
    <t>나병배</t>
  </si>
  <si>
    <t>CG002401</t>
  </si>
  <si>
    <t>남지덕</t>
  </si>
  <si>
    <t>CG002405</t>
  </si>
  <si>
    <t>최경아</t>
  </si>
  <si>
    <t>CG002407</t>
  </si>
  <si>
    <t>박철배</t>
  </si>
  <si>
    <t>CG002412</t>
  </si>
  <si>
    <t>서정주</t>
  </si>
  <si>
    <t>CG002416</t>
  </si>
  <si>
    <t>장지현</t>
  </si>
  <si>
    <t>CG002417</t>
  </si>
  <si>
    <t>백성실</t>
  </si>
  <si>
    <t>CG002424</t>
  </si>
  <si>
    <t>주형석</t>
  </si>
  <si>
    <t>CG002426</t>
  </si>
  <si>
    <t>이상영</t>
  </si>
  <si>
    <t>CG002427</t>
  </si>
  <si>
    <t>전상진</t>
  </si>
  <si>
    <t>CG002450</t>
  </si>
  <si>
    <t>김수정</t>
  </si>
  <si>
    <t>CG002451</t>
  </si>
  <si>
    <t>박용인</t>
  </si>
  <si>
    <t>CG002453</t>
  </si>
  <si>
    <t>최종민</t>
  </si>
  <si>
    <t>CG002455</t>
  </si>
  <si>
    <t>권옥주</t>
  </si>
  <si>
    <t>CG002457</t>
  </si>
  <si>
    <t>정하연</t>
  </si>
  <si>
    <t>CG002461</t>
  </si>
  <si>
    <t>김환중</t>
  </si>
  <si>
    <t>CG002470</t>
  </si>
  <si>
    <t>강남길</t>
  </si>
  <si>
    <t>CG002473</t>
  </si>
  <si>
    <t>이재형</t>
  </si>
  <si>
    <t>CG002474</t>
  </si>
  <si>
    <t>이종인</t>
  </si>
  <si>
    <t>CG002476</t>
  </si>
  <si>
    <t>허윤성</t>
  </si>
  <si>
    <t>CG002477</t>
  </si>
  <si>
    <t>김경훈</t>
  </si>
  <si>
    <t>CG002481</t>
  </si>
  <si>
    <t>박홍석</t>
  </si>
  <si>
    <t>CG002483</t>
  </si>
  <si>
    <t>최정일</t>
  </si>
  <si>
    <t>CG002484</t>
  </si>
  <si>
    <t>구종천</t>
  </si>
  <si>
    <t>CG002485</t>
  </si>
  <si>
    <t>우광민</t>
  </si>
  <si>
    <t>CG002486</t>
  </si>
  <si>
    <t>박거남</t>
  </si>
  <si>
    <t>CG002487</t>
  </si>
  <si>
    <t>천세환</t>
  </si>
  <si>
    <t>CG002488</t>
  </si>
  <si>
    <t>김윤정</t>
  </si>
  <si>
    <t>CG002511</t>
  </si>
  <si>
    <t>허서심</t>
  </si>
  <si>
    <t>CG002513</t>
  </si>
  <si>
    <t>서태현</t>
  </si>
  <si>
    <t>CG002514</t>
  </si>
  <si>
    <t>조만형</t>
  </si>
  <si>
    <t>CG002515</t>
  </si>
  <si>
    <t>강용석</t>
  </si>
  <si>
    <t>CG002518</t>
  </si>
  <si>
    <t>이정환</t>
  </si>
  <si>
    <t>CG002519</t>
  </si>
  <si>
    <t>허혜선</t>
  </si>
  <si>
    <t>CG002520</t>
  </si>
  <si>
    <t>윤영욱</t>
  </si>
  <si>
    <t>CG002522</t>
  </si>
  <si>
    <t>김지형</t>
  </si>
  <si>
    <t>CG002524</t>
  </si>
  <si>
    <t>황인원</t>
  </si>
  <si>
    <t>CG002526</t>
  </si>
  <si>
    <t>김동욱</t>
  </si>
  <si>
    <t>CG002528</t>
  </si>
  <si>
    <t>김민호</t>
  </si>
  <si>
    <t>CG002531</t>
  </si>
  <si>
    <t>김종필</t>
  </si>
  <si>
    <t>CG002533</t>
  </si>
  <si>
    <t>도종선</t>
  </si>
  <si>
    <t>CG002535</t>
  </si>
  <si>
    <t>이준영</t>
  </si>
  <si>
    <t>CG002540</t>
  </si>
  <si>
    <t>이홍기</t>
  </si>
  <si>
    <t>CG002541</t>
  </si>
  <si>
    <t>전강규</t>
  </si>
  <si>
    <t>CG002542</t>
  </si>
  <si>
    <t>최현선</t>
  </si>
  <si>
    <t>CG002545</t>
  </si>
  <si>
    <t>이영훈</t>
  </si>
  <si>
    <t>CG002547</t>
  </si>
  <si>
    <t>이택수</t>
  </si>
  <si>
    <t>CG002548</t>
  </si>
  <si>
    <t>최지연</t>
  </si>
  <si>
    <t>CG002550</t>
  </si>
  <si>
    <t>김만민</t>
  </si>
  <si>
    <t>CG002553</t>
  </si>
  <si>
    <t>김용근</t>
  </si>
  <si>
    <t>CG002556</t>
  </si>
  <si>
    <t>최현우</t>
  </si>
  <si>
    <t>CG002558</t>
  </si>
  <si>
    <t>오동규</t>
  </si>
  <si>
    <t>CG002559</t>
  </si>
  <si>
    <t>김우형</t>
  </si>
  <si>
    <t>CG002560</t>
  </si>
  <si>
    <t>윤종찬</t>
  </si>
  <si>
    <t>CG002568</t>
  </si>
  <si>
    <t>강수정</t>
  </si>
  <si>
    <t>CG002570</t>
  </si>
  <si>
    <t>구자실</t>
  </si>
  <si>
    <t>CG002571</t>
  </si>
  <si>
    <t>강용호</t>
  </si>
  <si>
    <t>CG002573</t>
  </si>
  <si>
    <t>이동녘</t>
  </si>
  <si>
    <t>CG002575</t>
  </si>
  <si>
    <t>김호련</t>
  </si>
  <si>
    <t>CG002579</t>
  </si>
  <si>
    <t>박태훈</t>
  </si>
  <si>
    <t>CG002587</t>
  </si>
  <si>
    <t>최병운</t>
  </si>
  <si>
    <t>CG002588</t>
  </si>
  <si>
    <t>강효국</t>
  </si>
  <si>
    <t>CG002589</t>
  </si>
  <si>
    <t>최정혁</t>
  </si>
  <si>
    <t>CG002608</t>
  </si>
  <si>
    <t>성영주</t>
  </si>
  <si>
    <t>CG002610</t>
  </si>
  <si>
    <t>CG002611</t>
  </si>
  <si>
    <t>이윤호</t>
  </si>
  <si>
    <t>CG002612</t>
  </si>
  <si>
    <t>양운하</t>
  </si>
  <si>
    <t>CG002618</t>
  </si>
  <si>
    <t>선종훈</t>
  </si>
  <si>
    <t>CG002619</t>
  </si>
  <si>
    <t>강금원</t>
  </si>
  <si>
    <t>CG002622</t>
  </si>
  <si>
    <t>김정현</t>
  </si>
  <si>
    <t>CG002623</t>
  </si>
  <si>
    <t>김미희</t>
  </si>
  <si>
    <t>CG002625</t>
  </si>
  <si>
    <t>이창원</t>
  </si>
  <si>
    <t>CG002626</t>
  </si>
  <si>
    <t>김영석</t>
  </si>
  <si>
    <t>CG002627</t>
  </si>
  <si>
    <t>이재민</t>
  </si>
  <si>
    <t>CG002628</t>
  </si>
  <si>
    <t>박선남</t>
  </si>
  <si>
    <t>CG002630</t>
  </si>
  <si>
    <t>엄창길</t>
  </si>
  <si>
    <t>CG002631</t>
  </si>
  <si>
    <t>채병일</t>
  </si>
  <si>
    <t>CG002632</t>
  </si>
  <si>
    <t>최원섭</t>
  </si>
  <si>
    <t>CG002633</t>
  </si>
  <si>
    <t>박준수</t>
  </si>
  <si>
    <t>CG002636</t>
  </si>
  <si>
    <t>왕재현</t>
  </si>
  <si>
    <t>CG002641</t>
  </si>
  <si>
    <t>정현주</t>
  </si>
  <si>
    <t>CG002642</t>
  </si>
  <si>
    <t>최의신</t>
  </si>
  <si>
    <t>CG002654</t>
  </si>
  <si>
    <t>조은주</t>
  </si>
  <si>
    <t>CG002656</t>
  </si>
  <si>
    <t>박병돈</t>
  </si>
  <si>
    <t>CG002657</t>
  </si>
  <si>
    <t>조언</t>
  </si>
  <si>
    <t>CG002659</t>
  </si>
  <si>
    <t>CG002660</t>
  </si>
  <si>
    <t>박현진</t>
  </si>
  <si>
    <t>CG002665</t>
  </si>
  <si>
    <t>최규삼</t>
  </si>
  <si>
    <t>CG002666</t>
  </si>
  <si>
    <t>김준석</t>
  </si>
  <si>
    <t>CG002668</t>
  </si>
  <si>
    <t>양희철</t>
  </si>
  <si>
    <t>CG002669</t>
  </si>
  <si>
    <t>임상수</t>
  </si>
  <si>
    <t>CG002670</t>
  </si>
  <si>
    <t>남현중</t>
  </si>
  <si>
    <t>CG002671</t>
  </si>
  <si>
    <t>이준길</t>
  </si>
  <si>
    <t>CG002673</t>
  </si>
  <si>
    <t>양백호</t>
  </si>
  <si>
    <t>CG002676</t>
  </si>
  <si>
    <t>홍영선</t>
  </si>
  <si>
    <t>CG002677</t>
  </si>
  <si>
    <t>김중대</t>
  </si>
  <si>
    <t>CG002678</t>
  </si>
  <si>
    <t>백원석</t>
  </si>
  <si>
    <t>CG002681</t>
  </si>
  <si>
    <t>송영곤</t>
  </si>
  <si>
    <t>CG002683</t>
  </si>
  <si>
    <t>추경일</t>
  </si>
  <si>
    <t>CG002690</t>
  </si>
  <si>
    <t>유채민</t>
  </si>
  <si>
    <t>CG002691</t>
  </si>
  <si>
    <t>이순주</t>
  </si>
  <si>
    <t>CG002692</t>
  </si>
  <si>
    <t>이옥희</t>
  </si>
  <si>
    <t>CG002695</t>
  </si>
  <si>
    <t>정희영</t>
  </si>
  <si>
    <t>CG002700</t>
  </si>
  <si>
    <t>남대현</t>
  </si>
  <si>
    <t>CG002701</t>
  </si>
  <si>
    <t>주상현</t>
  </si>
  <si>
    <t>CG002703</t>
  </si>
  <si>
    <t>조성규</t>
  </si>
  <si>
    <t>CG002707</t>
  </si>
  <si>
    <t>최연호</t>
  </si>
  <si>
    <t>CG002708</t>
  </si>
  <si>
    <t>이인환</t>
  </si>
  <si>
    <t>CG002711</t>
  </si>
  <si>
    <t>이진호</t>
  </si>
  <si>
    <t>CG002713</t>
  </si>
  <si>
    <t>김국호</t>
  </si>
  <si>
    <t>CG002716</t>
  </si>
  <si>
    <t>김성락</t>
  </si>
  <si>
    <t>CG002718</t>
  </si>
  <si>
    <t>김수찬</t>
  </si>
  <si>
    <t>CG002721</t>
  </si>
  <si>
    <t>김철호</t>
  </si>
  <si>
    <t>CG002722</t>
  </si>
  <si>
    <t>박규식</t>
  </si>
  <si>
    <t>CG002726</t>
  </si>
  <si>
    <t>최병훈</t>
  </si>
  <si>
    <t>CG002730</t>
  </si>
  <si>
    <t>박희경</t>
  </si>
  <si>
    <t>CG002739</t>
  </si>
  <si>
    <t>왕준상</t>
  </si>
  <si>
    <t>CG002741</t>
  </si>
  <si>
    <t>김의건</t>
  </si>
  <si>
    <t>CG002745</t>
  </si>
  <si>
    <t>최보경</t>
  </si>
  <si>
    <t>CG002749</t>
  </si>
  <si>
    <t>이우영</t>
  </si>
  <si>
    <t>CG002750</t>
  </si>
  <si>
    <t>김준희</t>
  </si>
  <si>
    <t>CG002752</t>
  </si>
  <si>
    <t>유일한</t>
  </si>
  <si>
    <t>CG002758</t>
  </si>
  <si>
    <t>조상민</t>
  </si>
  <si>
    <t>CG002760</t>
  </si>
  <si>
    <t>임만국</t>
  </si>
  <si>
    <t>CG002761</t>
  </si>
  <si>
    <t>김태섭</t>
  </si>
  <si>
    <t>CG002763</t>
  </si>
  <si>
    <t>최신혁</t>
  </si>
  <si>
    <t>CG002765</t>
  </si>
  <si>
    <t>김성필</t>
  </si>
  <si>
    <t>CG002776</t>
  </si>
  <si>
    <t>김신혜</t>
  </si>
  <si>
    <t>CG002777</t>
  </si>
  <si>
    <t>정순심</t>
  </si>
  <si>
    <t>CG002778</t>
  </si>
  <si>
    <t>신성희</t>
  </si>
  <si>
    <t>CG002781</t>
  </si>
  <si>
    <t>강형준</t>
  </si>
  <si>
    <t>CG002782</t>
  </si>
  <si>
    <t>이상윤</t>
  </si>
  <si>
    <t>CG002783</t>
  </si>
  <si>
    <t>현가영</t>
  </si>
  <si>
    <t>CG002787</t>
  </si>
  <si>
    <t>배혜정</t>
  </si>
  <si>
    <t>CG002789</t>
  </si>
  <si>
    <t>한은영</t>
  </si>
  <si>
    <t>CG002802</t>
  </si>
  <si>
    <t>강윤지</t>
  </si>
  <si>
    <t>CG002809</t>
  </si>
  <si>
    <t>CG002811</t>
  </si>
  <si>
    <t>곽주열</t>
  </si>
  <si>
    <t>CG002814</t>
  </si>
  <si>
    <t>정희경</t>
  </si>
  <si>
    <t>CG002816</t>
  </si>
  <si>
    <t>이하영</t>
  </si>
  <si>
    <t>CG002824</t>
  </si>
  <si>
    <t>강병기</t>
  </si>
  <si>
    <t>CG002830</t>
  </si>
  <si>
    <t>김진석</t>
  </si>
  <si>
    <t>CG002836</t>
  </si>
  <si>
    <t>김은희</t>
  </si>
  <si>
    <t>CG002839</t>
  </si>
  <si>
    <t>김종례</t>
  </si>
  <si>
    <t>CG002840</t>
  </si>
  <si>
    <t>남궁현숙</t>
  </si>
  <si>
    <t>CG002842</t>
  </si>
  <si>
    <t>유미란</t>
  </si>
  <si>
    <t>CG002843</t>
  </si>
  <si>
    <t>인수진</t>
  </si>
  <si>
    <t>CG002844</t>
  </si>
  <si>
    <t>정라정</t>
  </si>
  <si>
    <t>CG002845</t>
  </si>
  <si>
    <t>정혜자</t>
  </si>
  <si>
    <t>CG002849</t>
  </si>
  <si>
    <t>서수연</t>
  </si>
  <si>
    <t>CG002850</t>
  </si>
  <si>
    <t>유연순</t>
  </si>
  <si>
    <t>CG002856</t>
  </si>
  <si>
    <t>정남진</t>
  </si>
  <si>
    <t>CG002859</t>
  </si>
  <si>
    <t>김금현</t>
  </si>
  <si>
    <t>CG002863</t>
  </si>
  <si>
    <t>박은서</t>
  </si>
  <si>
    <t>CG002865</t>
  </si>
  <si>
    <t>서화경</t>
  </si>
  <si>
    <t>CG002869</t>
  </si>
  <si>
    <t>이은풍</t>
  </si>
  <si>
    <t>CG002872</t>
  </si>
  <si>
    <t>조건희</t>
  </si>
  <si>
    <t>CG002873</t>
  </si>
  <si>
    <t>홍나세</t>
  </si>
  <si>
    <t>CG002874</t>
  </si>
  <si>
    <t>홍선혜</t>
  </si>
  <si>
    <t>CG002875</t>
  </si>
  <si>
    <t>김원신</t>
  </si>
  <si>
    <t>CG002876</t>
  </si>
  <si>
    <t>김종역</t>
  </si>
  <si>
    <t>CG002878</t>
  </si>
  <si>
    <t>염민종</t>
  </si>
  <si>
    <t>CG002880</t>
  </si>
  <si>
    <t>김민구</t>
  </si>
  <si>
    <t>CG002881</t>
  </si>
  <si>
    <t>김진태</t>
  </si>
  <si>
    <t>CG002883</t>
  </si>
  <si>
    <t>오장근</t>
  </si>
  <si>
    <t>CG002884</t>
  </si>
  <si>
    <t>임근수</t>
  </si>
  <si>
    <t>CG002886</t>
  </si>
  <si>
    <t>홍승국</t>
  </si>
  <si>
    <t>CG002894</t>
  </si>
  <si>
    <t>배경우</t>
  </si>
  <si>
    <t>CG002896</t>
  </si>
  <si>
    <t>김진배</t>
  </si>
  <si>
    <t>CG002897</t>
  </si>
  <si>
    <t>심한별</t>
  </si>
  <si>
    <t>CG002898</t>
  </si>
  <si>
    <t>조도광</t>
  </si>
  <si>
    <t>CG002899</t>
  </si>
  <si>
    <t>원종섭</t>
  </si>
  <si>
    <t>CG002902</t>
  </si>
  <si>
    <t>CG002903</t>
  </si>
  <si>
    <t>황수진</t>
  </si>
  <si>
    <t>CG002906</t>
  </si>
  <si>
    <t>장은서</t>
  </si>
  <si>
    <t>CG002907</t>
  </si>
  <si>
    <t>이승현</t>
  </si>
  <si>
    <t>CG002909</t>
  </si>
  <si>
    <t>박수열</t>
  </si>
  <si>
    <t>CG002910</t>
  </si>
  <si>
    <t>김정한</t>
  </si>
  <si>
    <t>CG002911</t>
  </si>
  <si>
    <t>황정주</t>
  </si>
  <si>
    <t>CG002914</t>
  </si>
  <si>
    <t>김환주</t>
  </si>
  <si>
    <t>CG002915</t>
  </si>
  <si>
    <t>추영민</t>
  </si>
  <si>
    <t>CG002917</t>
  </si>
  <si>
    <t>신석환</t>
  </si>
  <si>
    <t>CG002920</t>
  </si>
  <si>
    <t>김대상</t>
  </si>
  <si>
    <t>CG002921</t>
  </si>
  <si>
    <t>김광회</t>
  </si>
  <si>
    <t>CG002924</t>
  </si>
  <si>
    <t>박승곤</t>
  </si>
  <si>
    <t>CG002929</t>
  </si>
  <si>
    <t>장진호</t>
  </si>
  <si>
    <t>CG002931</t>
  </si>
  <si>
    <t>이봉영</t>
  </si>
  <si>
    <t>CG002932</t>
  </si>
  <si>
    <t>김영곤</t>
  </si>
  <si>
    <t>CG002933</t>
  </si>
  <si>
    <t>신재승</t>
  </si>
  <si>
    <t>CG002935</t>
  </si>
  <si>
    <t>노대훈</t>
  </si>
  <si>
    <t>CG002936</t>
  </si>
  <si>
    <t>최현석</t>
  </si>
  <si>
    <t>CG002941</t>
  </si>
  <si>
    <t>한예담</t>
  </si>
  <si>
    <t>CG002945</t>
  </si>
  <si>
    <t>최희정</t>
  </si>
  <si>
    <t>CG002957</t>
  </si>
  <si>
    <t>서상호</t>
  </si>
  <si>
    <t>CG002958</t>
  </si>
  <si>
    <t>이경중</t>
  </si>
  <si>
    <t>CG002963</t>
  </si>
  <si>
    <t>정현철</t>
  </si>
  <si>
    <t>CG002966</t>
  </si>
  <si>
    <t>오종훈</t>
  </si>
  <si>
    <t>CG002974</t>
  </si>
  <si>
    <t>최영미</t>
  </si>
  <si>
    <t>CG002976</t>
  </si>
  <si>
    <t>노상문</t>
  </si>
  <si>
    <t>CG002978</t>
  </si>
  <si>
    <t>박원삼</t>
  </si>
  <si>
    <t>CG002979</t>
  </si>
  <si>
    <t>범희웅</t>
  </si>
  <si>
    <t>CG002981</t>
  </si>
  <si>
    <t>류찬</t>
  </si>
  <si>
    <t>CG002984</t>
  </si>
  <si>
    <t>문광훈</t>
  </si>
  <si>
    <t>CG002985</t>
  </si>
  <si>
    <t>권윤미</t>
  </si>
  <si>
    <t>CG002990</t>
  </si>
  <si>
    <t>박명옥</t>
  </si>
  <si>
    <t>CG002998</t>
  </si>
  <si>
    <t>최경락</t>
  </si>
  <si>
    <t>CG003001</t>
  </si>
  <si>
    <t>전승민</t>
  </si>
  <si>
    <t>CG003002</t>
  </si>
  <si>
    <t>정세훈</t>
  </si>
  <si>
    <t>CG003003</t>
  </si>
  <si>
    <t>정윤아</t>
  </si>
  <si>
    <t>CG003007</t>
  </si>
  <si>
    <t>한주홍</t>
  </si>
  <si>
    <t>CG003009</t>
  </si>
  <si>
    <t>권승진</t>
  </si>
  <si>
    <t>CG003010</t>
  </si>
  <si>
    <t>김광기</t>
  </si>
  <si>
    <t>CG003012</t>
  </si>
  <si>
    <t>유상윤</t>
  </si>
  <si>
    <t>CG003013</t>
  </si>
  <si>
    <t>신유미</t>
  </si>
  <si>
    <t>CG003016</t>
  </si>
  <si>
    <t>오세자</t>
  </si>
  <si>
    <t>CG003017</t>
  </si>
  <si>
    <t>이은주</t>
  </si>
  <si>
    <t>CG003021</t>
  </si>
  <si>
    <t>CG003023</t>
  </si>
  <si>
    <t>박성진</t>
  </si>
  <si>
    <t>CG003024</t>
  </si>
  <si>
    <t>이동헌</t>
  </si>
  <si>
    <t>CG003027</t>
  </si>
  <si>
    <t>윤정민</t>
  </si>
  <si>
    <t>CG003039</t>
  </si>
  <si>
    <t>김지수</t>
  </si>
  <si>
    <t>CG003043</t>
  </si>
  <si>
    <t>위성임</t>
  </si>
  <si>
    <t>CG003045</t>
  </si>
  <si>
    <t>CG003048</t>
  </si>
  <si>
    <t>최정임</t>
  </si>
  <si>
    <t>CG003050</t>
  </si>
  <si>
    <t>허용석</t>
  </si>
  <si>
    <t>CG003051</t>
  </si>
  <si>
    <t>김형오</t>
  </si>
  <si>
    <t>CG003053</t>
  </si>
  <si>
    <t>임승엽</t>
  </si>
  <si>
    <t>CG003058</t>
  </si>
  <si>
    <t>황준식</t>
  </si>
  <si>
    <t>CG003061</t>
  </si>
  <si>
    <t>정영옥</t>
  </si>
  <si>
    <t>CG003063</t>
  </si>
  <si>
    <t>심규희</t>
  </si>
  <si>
    <t>CG003064</t>
  </si>
  <si>
    <t>심현우</t>
  </si>
  <si>
    <t>CG003065</t>
  </si>
  <si>
    <t>조재철</t>
  </si>
  <si>
    <t>CG003068</t>
  </si>
  <si>
    <t>정경영</t>
  </si>
  <si>
    <t>CG003069</t>
  </si>
  <si>
    <t>이원욱</t>
  </si>
  <si>
    <t>CG003072</t>
  </si>
  <si>
    <t>윤민희</t>
  </si>
  <si>
    <t>CG003074</t>
  </si>
  <si>
    <t>손윤화</t>
  </si>
  <si>
    <t>CG003076</t>
  </si>
  <si>
    <t>박주희</t>
  </si>
  <si>
    <t>CG003078</t>
  </si>
  <si>
    <t>김정혜</t>
  </si>
  <si>
    <t>CG003079</t>
  </si>
  <si>
    <t>강치현</t>
  </si>
  <si>
    <t>CG003080</t>
  </si>
  <si>
    <t>정유린</t>
  </si>
  <si>
    <t>CG003081</t>
  </si>
  <si>
    <t>정민구</t>
  </si>
  <si>
    <t>CG003084</t>
  </si>
  <si>
    <t>이선우</t>
  </si>
  <si>
    <t>CG003086</t>
  </si>
  <si>
    <t>이승주</t>
  </si>
  <si>
    <t>CG003088</t>
  </si>
  <si>
    <t>김현</t>
  </si>
  <si>
    <t>CG003090</t>
  </si>
  <si>
    <t>주인용</t>
  </si>
  <si>
    <t>CG003093</t>
  </si>
  <si>
    <t>박희봉</t>
  </si>
  <si>
    <t>CG003097</t>
  </si>
  <si>
    <t>김석영</t>
  </si>
  <si>
    <t>KO003098</t>
  </si>
  <si>
    <t>김준헌</t>
  </si>
  <si>
    <t>CG003101</t>
  </si>
  <si>
    <t>한기명</t>
  </si>
  <si>
    <t>CG003102</t>
  </si>
  <si>
    <t>정광균</t>
  </si>
  <si>
    <t>CG003106</t>
  </si>
  <si>
    <t>최일웅</t>
  </si>
  <si>
    <t>KO003108</t>
  </si>
  <si>
    <t>박정국</t>
  </si>
  <si>
    <t>KO003109</t>
  </si>
  <si>
    <t>최승기</t>
  </si>
  <si>
    <t>KO003111</t>
  </si>
  <si>
    <t>조정훈</t>
  </si>
  <si>
    <t>KO003112</t>
  </si>
  <si>
    <t>차승진</t>
  </si>
  <si>
    <t>KO003114</t>
  </si>
  <si>
    <t>박인철</t>
  </si>
  <si>
    <t>KO003115</t>
  </si>
  <si>
    <t>김상태</t>
  </si>
  <si>
    <t>KO003116</t>
  </si>
  <si>
    <t>신승철</t>
  </si>
  <si>
    <t>KO003118</t>
  </si>
  <si>
    <t>김지혜</t>
  </si>
  <si>
    <t>KO003119</t>
  </si>
  <si>
    <t>김대인</t>
  </si>
  <si>
    <t>KO003120</t>
  </si>
  <si>
    <t>이혜영</t>
  </si>
  <si>
    <t>CG003122</t>
  </si>
  <si>
    <t>이동윤</t>
  </si>
  <si>
    <t>CG003123</t>
  </si>
  <si>
    <t>신민철</t>
  </si>
  <si>
    <t>CG003130</t>
  </si>
  <si>
    <t>송미현</t>
  </si>
  <si>
    <t>CG003141</t>
  </si>
  <si>
    <t>한현숙</t>
  </si>
  <si>
    <t>CG003143</t>
  </si>
  <si>
    <t>김철</t>
  </si>
  <si>
    <t>CG003147</t>
  </si>
  <si>
    <t>이지혜</t>
  </si>
  <si>
    <t>CG003149</t>
  </si>
  <si>
    <t>유경미</t>
  </si>
  <si>
    <t>CG003151</t>
  </si>
  <si>
    <t>양세훈</t>
  </si>
  <si>
    <t>CG003152</t>
  </si>
  <si>
    <t>서한울</t>
  </si>
  <si>
    <t>CG003156</t>
  </si>
  <si>
    <t>박기성</t>
  </si>
  <si>
    <t>CG003159</t>
  </si>
  <si>
    <t>김민철</t>
  </si>
  <si>
    <t>CG003160</t>
  </si>
  <si>
    <t>송윤석</t>
  </si>
  <si>
    <t>CG003162</t>
  </si>
  <si>
    <t>손혜옥</t>
  </si>
  <si>
    <t>CG003163</t>
  </si>
  <si>
    <t>정다운</t>
  </si>
  <si>
    <t>KO003172</t>
  </si>
  <si>
    <t>장승진</t>
  </si>
  <si>
    <t>KO003173</t>
  </si>
  <si>
    <t>박찬성</t>
  </si>
  <si>
    <t>KO003176</t>
  </si>
  <si>
    <t>김종경</t>
  </si>
  <si>
    <t>KO003177</t>
  </si>
  <si>
    <t>김기수</t>
  </si>
  <si>
    <t>KO003180</t>
  </si>
  <si>
    <t>임봉춘</t>
  </si>
  <si>
    <t>KO003181</t>
  </si>
  <si>
    <t>박선재</t>
  </si>
  <si>
    <t>CG003188</t>
  </si>
  <si>
    <t>김민혜</t>
  </si>
  <si>
    <t>CG003190</t>
  </si>
  <si>
    <t>최정용</t>
  </si>
  <si>
    <t>CG003191</t>
  </si>
  <si>
    <t>김동오</t>
  </si>
  <si>
    <t>CG003192</t>
  </si>
  <si>
    <t>신철기</t>
  </si>
  <si>
    <t>CG003193</t>
  </si>
  <si>
    <t>장동훈</t>
  </si>
  <si>
    <t>CG003195</t>
  </si>
  <si>
    <t>황동준</t>
  </si>
  <si>
    <t>CG003196</t>
  </si>
  <si>
    <t>정치영</t>
  </si>
  <si>
    <t>CG003197</t>
  </si>
  <si>
    <t>안승민</t>
  </si>
  <si>
    <t>CG003200</t>
  </si>
  <si>
    <t>한은미</t>
  </si>
  <si>
    <t>CG003206</t>
  </si>
  <si>
    <t>박지연</t>
  </si>
  <si>
    <t>CG003208</t>
  </si>
  <si>
    <t>손인숙</t>
  </si>
  <si>
    <t>CG003210</t>
  </si>
  <si>
    <t>권희영</t>
  </si>
  <si>
    <t>CG003212</t>
  </si>
  <si>
    <t>안길용</t>
  </si>
  <si>
    <t>CG003213</t>
  </si>
  <si>
    <t>정현</t>
  </si>
  <si>
    <t>CG003214</t>
  </si>
  <si>
    <t>CG003216</t>
  </si>
  <si>
    <t>정호성</t>
  </si>
  <si>
    <t>CG003220</t>
  </si>
  <si>
    <t>임은경</t>
  </si>
  <si>
    <t>CG003222</t>
  </si>
  <si>
    <t>김원식</t>
  </si>
  <si>
    <t>CG003224</t>
  </si>
  <si>
    <t>지민구</t>
  </si>
  <si>
    <t>CG003225</t>
  </si>
  <si>
    <t>장순철</t>
  </si>
  <si>
    <t>KO003232</t>
  </si>
  <si>
    <t>장민석</t>
  </si>
  <si>
    <t>KO003234</t>
  </si>
  <si>
    <t>이상원</t>
  </si>
  <si>
    <t>CG003235</t>
  </si>
  <si>
    <t>김진욱</t>
  </si>
  <si>
    <t>KO003236</t>
  </si>
  <si>
    <t>김용범</t>
  </si>
  <si>
    <t>CG003237</t>
  </si>
  <si>
    <t>박용식</t>
  </si>
  <si>
    <t>KO003245</t>
  </si>
  <si>
    <t>박정근</t>
  </si>
  <si>
    <t>KO003246</t>
  </si>
  <si>
    <t>정남용</t>
  </si>
  <si>
    <t>KO003250</t>
  </si>
  <si>
    <t>손정민</t>
  </si>
  <si>
    <t>KO003253</t>
  </si>
  <si>
    <t>이재극</t>
  </si>
  <si>
    <t>KO003255</t>
  </si>
  <si>
    <t>정종화</t>
  </si>
  <si>
    <t>CG003257</t>
  </si>
  <si>
    <t>박정은</t>
  </si>
  <si>
    <t>CG003264</t>
  </si>
  <si>
    <t>김경천</t>
  </si>
  <si>
    <t>KO003271</t>
  </si>
  <si>
    <t>오석봉</t>
  </si>
  <si>
    <t>CG003272</t>
  </si>
  <si>
    <t>조혜영</t>
  </si>
  <si>
    <t>CG003274</t>
  </si>
  <si>
    <t>조성용</t>
  </si>
  <si>
    <t>CG003275</t>
  </si>
  <si>
    <t>박미화</t>
  </si>
  <si>
    <t>CG003276</t>
  </si>
  <si>
    <t>이수민</t>
  </si>
  <si>
    <t>KO003279</t>
  </si>
  <si>
    <t>이병운</t>
  </si>
  <si>
    <t>CG003281</t>
  </si>
  <si>
    <t>이예름</t>
  </si>
  <si>
    <t>CG003284</t>
  </si>
  <si>
    <t>김현수</t>
  </si>
  <si>
    <t>KO003285</t>
  </si>
  <si>
    <t>배기문</t>
  </si>
  <si>
    <t>KO003286</t>
  </si>
  <si>
    <t>이재하</t>
  </si>
  <si>
    <t>KO003287</t>
  </si>
  <si>
    <t>한성수</t>
  </si>
  <si>
    <t>CG003291</t>
  </si>
  <si>
    <t>주묘경</t>
  </si>
  <si>
    <t>CG003293</t>
  </si>
  <si>
    <t>이하나</t>
  </si>
  <si>
    <t>CG003294</t>
  </si>
  <si>
    <t>정상훈</t>
  </si>
  <si>
    <t>CG003295</t>
  </si>
  <si>
    <t>최영화</t>
  </si>
  <si>
    <t>CG003297</t>
  </si>
  <si>
    <t>권민정</t>
  </si>
  <si>
    <t>CG003306</t>
  </si>
  <si>
    <t>박영근</t>
  </si>
  <si>
    <t>CG003307</t>
  </si>
  <si>
    <t>CG003309</t>
  </si>
  <si>
    <t>엄준경</t>
  </si>
  <si>
    <t>CG003316</t>
  </si>
  <si>
    <t>박광범</t>
  </si>
  <si>
    <t>CG003317</t>
  </si>
  <si>
    <t>최재호</t>
  </si>
  <si>
    <t>CG003319</t>
  </si>
  <si>
    <t>황진경</t>
  </si>
  <si>
    <t>CG003325</t>
  </si>
  <si>
    <t>최재영</t>
  </si>
  <si>
    <t>CG003326</t>
  </si>
  <si>
    <t>김상균</t>
  </si>
  <si>
    <t>CG003328</t>
  </si>
  <si>
    <t>이시윤</t>
  </si>
  <si>
    <t>CG003329</t>
  </si>
  <si>
    <t>정민석</t>
  </si>
  <si>
    <t>CG003330</t>
  </si>
  <si>
    <t>조상훈</t>
  </si>
  <si>
    <t>CG003334</t>
  </si>
  <si>
    <t>고유진</t>
  </si>
  <si>
    <t>CG003335</t>
  </si>
  <si>
    <t>CG003336</t>
  </si>
  <si>
    <t>김명한</t>
  </si>
  <si>
    <t>CG003338</t>
  </si>
  <si>
    <t>김승연</t>
  </si>
  <si>
    <t>CG003339</t>
  </si>
  <si>
    <t>남혜련</t>
  </si>
  <si>
    <t>CG003345</t>
  </si>
  <si>
    <t>신승무</t>
  </si>
  <si>
    <t>CG003347</t>
  </si>
  <si>
    <t>김수완</t>
  </si>
  <si>
    <t>01147900</t>
  </si>
  <si>
    <t>유형규</t>
  </si>
  <si>
    <t>01148588</t>
  </si>
  <si>
    <t>권광남</t>
  </si>
  <si>
    <t>01148589</t>
  </si>
  <si>
    <t>박정용</t>
  </si>
  <si>
    <t>01149087</t>
  </si>
  <si>
    <t>서영문</t>
  </si>
  <si>
    <t>01152754</t>
  </si>
  <si>
    <t>01152756</t>
  </si>
  <si>
    <t>나해성</t>
  </si>
  <si>
    <t>01152875</t>
  </si>
  <si>
    <t>이미선</t>
  </si>
  <si>
    <t>01153143</t>
  </si>
  <si>
    <t>전정수</t>
  </si>
  <si>
    <t>01153144</t>
  </si>
  <si>
    <t>이우정</t>
  </si>
  <si>
    <t>01153801</t>
  </si>
  <si>
    <t>최성옥</t>
  </si>
  <si>
    <t>01153804</t>
  </si>
  <si>
    <t>정금자</t>
  </si>
  <si>
    <t>01153991</t>
  </si>
  <si>
    <t>홍창수</t>
  </si>
  <si>
    <t>01153992</t>
  </si>
  <si>
    <t>서갑종</t>
  </si>
  <si>
    <t>01154396</t>
  </si>
  <si>
    <t>노현수</t>
  </si>
  <si>
    <t>01155105</t>
  </si>
  <si>
    <t>박중철</t>
  </si>
  <si>
    <t>01155106</t>
  </si>
  <si>
    <t>모상준</t>
  </si>
  <si>
    <t>01155107</t>
  </si>
  <si>
    <t>심반석</t>
  </si>
  <si>
    <t>01155112</t>
  </si>
  <si>
    <t>조성백</t>
  </si>
  <si>
    <t>01155113</t>
  </si>
  <si>
    <t>백권석</t>
  </si>
  <si>
    <t>01155115</t>
  </si>
  <si>
    <t>신기선</t>
  </si>
  <si>
    <t>01155117</t>
  </si>
  <si>
    <t>최진수</t>
  </si>
  <si>
    <t>01155140</t>
  </si>
  <si>
    <t>김남현</t>
  </si>
  <si>
    <t>01155141</t>
  </si>
  <si>
    <t>이지홍</t>
  </si>
  <si>
    <t>01155227</t>
  </si>
  <si>
    <t>홍준영</t>
  </si>
  <si>
    <t>01155239</t>
  </si>
  <si>
    <t>박현준</t>
  </si>
  <si>
    <t>01155284</t>
  </si>
  <si>
    <t>문천일</t>
  </si>
  <si>
    <t>01155301</t>
  </si>
  <si>
    <t>이재영</t>
  </si>
  <si>
    <t>01155304</t>
  </si>
  <si>
    <t>백영민</t>
  </si>
  <si>
    <t>01155307</t>
  </si>
  <si>
    <t>김용복</t>
  </si>
  <si>
    <t>01155271</t>
  </si>
  <si>
    <t>김병욱</t>
  </si>
  <si>
    <t>01155272</t>
  </si>
  <si>
    <t>김정훈</t>
  </si>
  <si>
    <t>01155273</t>
  </si>
  <si>
    <t>01155283</t>
  </si>
  <si>
    <t>이종성</t>
  </si>
  <si>
    <t>01155288</t>
  </si>
  <si>
    <t>마호철</t>
  </si>
  <si>
    <t>01155289</t>
  </si>
  <si>
    <t>박종연</t>
  </si>
  <si>
    <t>01155290</t>
  </si>
  <si>
    <t>이훈재</t>
  </si>
  <si>
    <t>01155291</t>
  </si>
  <si>
    <t>김종열</t>
  </si>
  <si>
    <t>01155292</t>
  </si>
  <si>
    <t>최현중</t>
  </si>
  <si>
    <t>01155293</t>
  </si>
  <si>
    <t>박병진</t>
  </si>
  <si>
    <t>01155294</t>
  </si>
  <si>
    <t>김철우</t>
  </si>
  <si>
    <t>01155296</t>
  </si>
  <si>
    <t>강동균</t>
  </si>
  <si>
    <t>01155298</t>
  </si>
  <si>
    <t>김종명</t>
  </si>
  <si>
    <t>01155299</t>
  </si>
  <si>
    <t>김동규</t>
  </si>
  <si>
    <t>01155308</t>
  </si>
  <si>
    <t>백두산</t>
  </si>
  <si>
    <t>01155309</t>
  </si>
  <si>
    <t>정인태</t>
  </si>
  <si>
    <t>01155310</t>
  </si>
  <si>
    <t>신상균</t>
  </si>
  <si>
    <t>01155311</t>
  </si>
  <si>
    <t>김대철</t>
  </si>
  <si>
    <t>01155312</t>
  </si>
  <si>
    <t>이명재</t>
  </si>
  <si>
    <t>01155313</t>
  </si>
  <si>
    <t>장경원</t>
  </si>
  <si>
    <t>01155314</t>
  </si>
  <si>
    <t>김승수</t>
  </si>
  <si>
    <t>01155315</t>
  </si>
  <si>
    <t>정두영</t>
  </si>
  <si>
    <t>01155794</t>
  </si>
  <si>
    <t>최승진</t>
  </si>
  <si>
    <t>01161322</t>
  </si>
  <si>
    <t>강봉협</t>
  </si>
  <si>
    <t>01168669</t>
  </si>
  <si>
    <t>윤정훈</t>
  </si>
  <si>
    <t>01169458</t>
  </si>
  <si>
    <t>이우민</t>
  </si>
  <si>
    <t>01169459</t>
  </si>
  <si>
    <t>박성남</t>
  </si>
  <si>
    <t>01169460</t>
  </si>
  <si>
    <t>방상덕</t>
  </si>
  <si>
    <t>01169462</t>
  </si>
  <si>
    <t>황경준</t>
  </si>
  <si>
    <t>01169467</t>
  </si>
  <si>
    <t>이대영</t>
  </si>
  <si>
    <t>01169468</t>
  </si>
  <si>
    <t>01169470</t>
  </si>
  <si>
    <t>김명필</t>
  </si>
  <si>
    <t>01169471</t>
  </si>
  <si>
    <t>박형배</t>
  </si>
  <si>
    <t>01169473</t>
  </si>
  <si>
    <t>유상현</t>
  </si>
  <si>
    <t>01169474</t>
  </si>
  <si>
    <t>박규현</t>
  </si>
  <si>
    <t>01171372</t>
  </si>
  <si>
    <t>신동혁</t>
  </si>
  <si>
    <t>01171510</t>
  </si>
  <si>
    <t>변수지</t>
  </si>
  <si>
    <t>01171511</t>
  </si>
  <si>
    <t>김성희</t>
  </si>
  <si>
    <t>01171495</t>
  </si>
  <si>
    <t>김화</t>
  </si>
  <si>
    <t>01172836</t>
  </si>
  <si>
    <t>김남진</t>
  </si>
  <si>
    <t>01173294</t>
  </si>
  <si>
    <t>지인기</t>
  </si>
  <si>
    <t>01173946</t>
  </si>
  <si>
    <t>이종현</t>
  </si>
  <si>
    <t>01175192</t>
  </si>
  <si>
    <t>안민진</t>
  </si>
  <si>
    <t>01175315</t>
  </si>
  <si>
    <t>박형선</t>
  </si>
  <si>
    <t>CG001914</t>
  </si>
  <si>
    <t>김기명</t>
  </si>
  <si>
    <t>01147666</t>
  </si>
  <si>
    <t>김인영</t>
  </si>
  <si>
    <t>01152526</t>
  </si>
  <si>
    <t>최현지</t>
  </si>
  <si>
    <t>01176843</t>
  </si>
  <si>
    <t>송상호</t>
  </si>
  <si>
    <t>01176844</t>
  </si>
  <si>
    <t>배강수</t>
  </si>
  <si>
    <t>01176845</t>
  </si>
  <si>
    <t>임도훈</t>
  </si>
  <si>
    <t>01176853</t>
  </si>
  <si>
    <t>서정훈</t>
  </si>
  <si>
    <t>01176854</t>
  </si>
  <si>
    <t>이의성</t>
  </si>
  <si>
    <t>01176855</t>
  </si>
  <si>
    <t>정영진</t>
  </si>
  <si>
    <t>01176857</t>
  </si>
  <si>
    <t>김민규</t>
  </si>
  <si>
    <t>01176858</t>
  </si>
  <si>
    <t>배정민</t>
  </si>
  <si>
    <t>01176859</t>
  </si>
  <si>
    <t>최영우</t>
  </si>
  <si>
    <t>01176869</t>
  </si>
  <si>
    <t>박준성</t>
  </si>
  <si>
    <t>01177022</t>
  </si>
  <si>
    <t>유대상</t>
  </si>
  <si>
    <t>01178151</t>
  </si>
  <si>
    <t>백승원</t>
  </si>
  <si>
    <t>01179032</t>
  </si>
  <si>
    <t>최낙영</t>
  </si>
  <si>
    <t>01179036</t>
  </si>
  <si>
    <t>김경근</t>
  </si>
  <si>
    <t>01179037</t>
  </si>
  <si>
    <t>이상훈</t>
  </si>
  <si>
    <t>01179038</t>
  </si>
  <si>
    <t>이경준</t>
  </si>
  <si>
    <t>01179039</t>
  </si>
  <si>
    <t>01179040</t>
  </si>
  <si>
    <t>배수현</t>
  </si>
  <si>
    <t>01179043</t>
  </si>
  <si>
    <t>김혁래</t>
  </si>
  <si>
    <t>01179044</t>
  </si>
  <si>
    <t>최인기</t>
  </si>
  <si>
    <t>01179045</t>
  </si>
  <si>
    <t>공등록</t>
  </si>
  <si>
    <t>01179168</t>
  </si>
  <si>
    <t>곽현철</t>
  </si>
  <si>
    <t>01180614</t>
  </si>
  <si>
    <t>조은아</t>
  </si>
  <si>
    <t>01180848</t>
  </si>
  <si>
    <t>김천관</t>
  </si>
  <si>
    <t>01182549</t>
  </si>
  <si>
    <t>윤지현</t>
  </si>
  <si>
    <t>01182556</t>
  </si>
  <si>
    <t>이명종</t>
  </si>
  <si>
    <t>01182559</t>
  </si>
  <si>
    <t>서정은</t>
  </si>
  <si>
    <t>01186440</t>
  </si>
  <si>
    <t>김영제</t>
  </si>
  <si>
    <t>01186452</t>
  </si>
  <si>
    <t>최준명</t>
  </si>
  <si>
    <t>01186451</t>
  </si>
  <si>
    <t>선정우</t>
  </si>
  <si>
    <t>01187737</t>
  </si>
  <si>
    <t>염창민</t>
  </si>
  <si>
    <t>01187984</t>
  </si>
  <si>
    <t>전명엽</t>
  </si>
  <si>
    <t>01189262</t>
  </si>
  <si>
    <t>정우람</t>
  </si>
  <si>
    <t>01189699</t>
  </si>
  <si>
    <t>하재영</t>
  </si>
  <si>
    <t>DE001659</t>
  </si>
  <si>
    <t>최경선</t>
  </si>
  <si>
    <t>01192542</t>
  </si>
  <si>
    <t>송병섭</t>
  </si>
  <si>
    <t>01192547</t>
  </si>
  <si>
    <t>강아영</t>
  </si>
  <si>
    <t>01192550</t>
  </si>
  <si>
    <t>김은실</t>
  </si>
  <si>
    <t>01192837</t>
  </si>
  <si>
    <t>서민범</t>
  </si>
  <si>
    <t>01193404</t>
  </si>
  <si>
    <t>장문경</t>
  </si>
  <si>
    <t>01193553</t>
  </si>
  <si>
    <t>장수진</t>
  </si>
  <si>
    <t>01194210</t>
  </si>
  <si>
    <t>이현준</t>
  </si>
  <si>
    <t>01194481</t>
  </si>
  <si>
    <t>김성우</t>
  </si>
  <si>
    <t>01195541</t>
  </si>
  <si>
    <t>김호경</t>
  </si>
  <si>
    <t>01197034</t>
  </si>
  <si>
    <t>최진주</t>
  </si>
  <si>
    <t>01197027</t>
  </si>
  <si>
    <t>김병민</t>
  </si>
  <si>
    <t>01197028</t>
  </si>
  <si>
    <t>김종남</t>
  </si>
  <si>
    <t>01197638</t>
  </si>
  <si>
    <t>최한희</t>
  </si>
  <si>
    <t>01203967</t>
  </si>
  <si>
    <t>임한결</t>
  </si>
  <si>
    <t>01204447</t>
  </si>
  <si>
    <t>조윤정</t>
  </si>
  <si>
    <t>01204625</t>
  </si>
  <si>
    <t>성기훈</t>
  </si>
  <si>
    <t>01205102</t>
  </si>
  <si>
    <t>이경훈</t>
  </si>
  <si>
    <t>01205279</t>
  </si>
  <si>
    <t>김형록</t>
  </si>
  <si>
    <t>01205246</t>
  </si>
  <si>
    <t>이호건</t>
  </si>
  <si>
    <t>01206873</t>
  </si>
  <si>
    <t>김종산</t>
  </si>
  <si>
    <t>01206866</t>
  </si>
  <si>
    <t>박지환</t>
  </si>
  <si>
    <t>CG002823</t>
  </si>
  <si>
    <t>박인석</t>
  </si>
  <si>
    <t>01207277</t>
  </si>
  <si>
    <t>안창규</t>
  </si>
  <si>
    <t>01208071</t>
  </si>
  <si>
    <t>박민재</t>
  </si>
  <si>
    <t>01208361</t>
  </si>
  <si>
    <t>김성환</t>
  </si>
  <si>
    <t>01208364</t>
  </si>
  <si>
    <t>강태원</t>
  </si>
  <si>
    <t>01208614</t>
  </si>
  <si>
    <t>박우람</t>
  </si>
  <si>
    <t>01208617</t>
  </si>
  <si>
    <t>태정현</t>
  </si>
  <si>
    <t>01208613</t>
  </si>
  <si>
    <t>장호진</t>
  </si>
  <si>
    <t>01221891</t>
  </si>
  <si>
    <t>문정철</t>
  </si>
  <si>
    <t>01221992</t>
  </si>
  <si>
    <t>이용우</t>
  </si>
  <si>
    <t>01222395</t>
  </si>
  <si>
    <t>김혜영</t>
  </si>
  <si>
    <t>01222396</t>
  </si>
  <si>
    <t>김강일</t>
  </si>
  <si>
    <t>01228494</t>
  </si>
  <si>
    <t>시정모</t>
  </si>
  <si>
    <t>01229576</t>
  </si>
  <si>
    <t>이규환</t>
  </si>
  <si>
    <t>01237876</t>
  </si>
  <si>
    <t>노영준</t>
  </si>
  <si>
    <t>01241870</t>
  </si>
  <si>
    <t>01241883</t>
  </si>
  <si>
    <t>최호성</t>
  </si>
  <si>
    <t>01241848</t>
  </si>
  <si>
    <t>김홍윤</t>
  </si>
  <si>
    <t>01241834</t>
  </si>
  <si>
    <t>이정훈</t>
  </si>
  <si>
    <t>01241826</t>
  </si>
  <si>
    <t>이병준</t>
  </si>
  <si>
    <t>01241880</t>
  </si>
  <si>
    <t>장우석</t>
  </si>
  <si>
    <t>01249474</t>
  </si>
  <si>
    <t>전호석</t>
  </si>
  <si>
    <t>01257337</t>
  </si>
  <si>
    <t>차영재</t>
  </si>
  <si>
    <t>01279247</t>
  </si>
  <si>
    <t>김남혁</t>
  </si>
  <si>
    <t>01280901</t>
  </si>
  <si>
    <t>박정호</t>
  </si>
  <si>
    <t>01284593</t>
  </si>
  <si>
    <t>이주연</t>
  </si>
  <si>
    <t>01299302</t>
  </si>
  <si>
    <t>강대원</t>
  </si>
  <si>
    <t>01299303</t>
  </si>
  <si>
    <t>정진원</t>
  </si>
  <si>
    <t>01299305</t>
  </si>
  <si>
    <t>정훈</t>
  </si>
  <si>
    <t>01299307</t>
  </si>
  <si>
    <t>이효섭</t>
  </si>
  <si>
    <t>01299604</t>
  </si>
  <si>
    <t>김태환</t>
  </si>
  <si>
    <t>01301696</t>
  </si>
  <si>
    <t>이미희</t>
  </si>
  <si>
    <t>01302860</t>
  </si>
  <si>
    <t>01303033</t>
  </si>
  <si>
    <t>송은지</t>
  </si>
  <si>
    <t>01303708</t>
  </si>
  <si>
    <t>정수연</t>
  </si>
  <si>
    <t>01303800</t>
  </si>
  <si>
    <t>임승욱</t>
  </si>
  <si>
    <t>01303837</t>
  </si>
  <si>
    <t>윤찬석</t>
  </si>
  <si>
    <t>01303799</t>
  </si>
  <si>
    <t>제상해</t>
  </si>
  <si>
    <t>01303964</t>
  </si>
  <si>
    <t>한창수</t>
  </si>
  <si>
    <t>01303966</t>
  </si>
  <si>
    <t>한혜경</t>
  </si>
  <si>
    <t>01304016</t>
  </si>
  <si>
    <t>김광수</t>
  </si>
  <si>
    <t>01305234</t>
  </si>
  <si>
    <t>김준</t>
  </si>
  <si>
    <t>01305718</t>
  </si>
  <si>
    <t>전유선</t>
  </si>
  <si>
    <t>01306796</t>
  </si>
  <si>
    <t>이홍경</t>
  </si>
  <si>
    <t>01307541</t>
  </si>
  <si>
    <t>01308108</t>
  </si>
  <si>
    <t>전용식</t>
  </si>
  <si>
    <t>01308212</t>
  </si>
  <si>
    <t>도원재</t>
  </si>
  <si>
    <t>01308529</t>
  </si>
  <si>
    <t>차진주</t>
  </si>
  <si>
    <t>01308700</t>
  </si>
  <si>
    <t>강경모</t>
  </si>
  <si>
    <t>01309033</t>
  </si>
  <si>
    <t>노태훈</t>
  </si>
  <si>
    <t>01176851</t>
  </si>
  <si>
    <t>최영광</t>
  </si>
  <si>
    <t>01319422</t>
  </si>
  <si>
    <t>김초롱</t>
  </si>
  <si>
    <t>01319559</t>
  </si>
  <si>
    <t>정규진</t>
  </si>
  <si>
    <t>01332464</t>
  </si>
  <si>
    <t>이민준</t>
  </si>
  <si>
    <t>01338558</t>
  </si>
  <si>
    <t>01341357</t>
  </si>
  <si>
    <t>최규하</t>
  </si>
  <si>
    <t>01341881</t>
  </si>
  <si>
    <t>01344157</t>
  </si>
  <si>
    <t>박재원</t>
  </si>
  <si>
    <t>01354920</t>
  </si>
  <si>
    <t>박은아</t>
  </si>
  <si>
    <t>01354919</t>
  </si>
  <si>
    <t>김하얀마음</t>
  </si>
  <si>
    <t>01355454</t>
  </si>
  <si>
    <t>차현정</t>
  </si>
  <si>
    <t>01364373</t>
  </si>
  <si>
    <t>01364874</t>
  </si>
  <si>
    <t>조현우</t>
  </si>
  <si>
    <t>01368740</t>
  </si>
  <si>
    <t>허훈</t>
  </si>
  <si>
    <t>01354969</t>
  </si>
  <si>
    <t>배승민</t>
  </si>
  <si>
    <t>01354961</t>
  </si>
  <si>
    <t>이경재</t>
  </si>
  <si>
    <t>01354972</t>
  </si>
  <si>
    <t>김아영</t>
  </si>
  <si>
    <t>01372835</t>
  </si>
  <si>
    <t>김광민</t>
  </si>
  <si>
    <t>01372859</t>
  </si>
  <si>
    <t>유정은</t>
  </si>
  <si>
    <t>01372861</t>
  </si>
  <si>
    <t>조현태</t>
  </si>
  <si>
    <t>01375991</t>
  </si>
  <si>
    <t>곽현우</t>
  </si>
  <si>
    <t>01384566</t>
  </si>
  <si>
    <t>안도영</t>
  </si>
  <si>
    <t>01385487</t>
  </si>
  <si>
    <t>유진우</t>
  </si>
  <si>
    <t>01386224</t>
  </si>
  <si>
    <t>01386869</t>
  </si>
  <si>
    <t>김윤태</t>
  </si>
  <si>
    <t>01390239</t>
  </si>
  <si>
    <t>이윤형</t>
  </si>
  <si>
    <t>01390240</t>
  </si>
  <si>
    <t>정태진</t>
  </si>
  <si>
    <t>01390244</t>
  </si>
  <si>
    <t>홍승표</t>
  </si>
  <si>
    <t>01390998</t>
  </si>
  <si>
    <t>김경동</t>
  </si>
  <si>
    <t>01391354</t>
  </si>
  <si>
    <t>01391511</t>
  </si>
  <si>
    <t>최호준</t>
  </si>
  <si>
    <t>01392708</t>
  </si>
  <si>
    <t>01393425</t>
  </si>
  <si>
    <t>박인규</t>
  </si>
  <si>
    <t>01394645</t>
  </si>
  <si>
    <t>조현양</t>
  </si>
  <si>
    <t>01394647</t>
  </si>
  <si>
    <t>심정</t>
  </si>
  <si>
    <t>01394650</t>
  </si>
  <si>
    <t>강신재</t>
  </si>
  <si>
    <t>01395198</t>
  </si>
  <si>
    <t>01395643</t>
  </si>
  <si>
    <t>우성우</t>
  </si>
  <si>
    <t>01396918</t>
  </si>
  <si>
    <t>전진만</t>
  </si>
  <si>
    <t>01397425</t>
  </si>
  <si>
    <t>우승한</t>
  </si>
  <si>
    <t>01397433</t>
  </si>
  <si>
    <t>장지훈</t>
  </si>
  <si>
    <t>01397477</t>
  </si>
  <si>
    <t>김대환</t>
  </si>
  <si>
    <t>01397991</t>
  </si>
  <si>
    <t>김명귀</t>
  </si>
  <si>
    <t>01398117</t>
  </si>
  <si>
    <t>노대현</t>
  </si>
  <si>
    <t>01402872</t>
  </si>
  <si>
    <t>황기혜</t>
  </si>
  <si>
    <t>01403758</t>
  </si>
  <si>
    <t>신나현</t>
  </si>
  <si>
    <t>01405004</t>
  </si>
  <si>
    <t>양용석</t>
  </si>
  <si>
    <t>01409270</t>
  </si>
  <si>
    <t>유지훈</t>
  </si>
  <si>
    <t>01415780</t>
  </si>
  <si>
    <t>박혜서</t>
  </si>
  <si>
    <t>01415783</t>
  </si>
  <si>
    <t>단경식</t>
  </si>
  <si>
    <t>CG002018</t>
  </si>
  <si>
    <t>이윤근</t>
  </si>
  <si>
    <t>01417703</t>
  </si>
  <si>
    <t>김건우</t>
  </si>
  <si>
    <t>01418088</t>
  </si>
  <si>
    <t>윤경환</t>
  </si>
  <si>
    <t>01420689</t>
  </si>
  <si>
    <t>김태우</t>
  </si>
  <si>
    <t>CG000720</t>
  </si>
  <si>
    <t>진범수</t>
  </si>
  <si>
    <t>01424350</t>
  </si>
  <si>
    <t>유재준</t>
  </si>
  <si>
    <t>01425025</t>
  </si>
  <si>
    <t>최선성</t>
  </si>
  <si>
    <t>01191925</t>
  </si>
  <si>
    <t>01191927</t>
  </si>
  <si>
    <t>장래우</t>
  </si>
  <si>
    <t>01191928</t>
  </si>
  <si>
    <t>장홍명</t>
  </si>
  <si>
    <t>01222870</t>
  </si>
  <si>
    <t>배창준</t>
  </si>
  <si>
    <t>01380216</t>
  </si>
  <si>
    <t>임규훈</t>
  </si>
  <si>
    <t>01431886</t>
  </si>
  <si>
    <t>나태웅</t>
  </si>
  <si>
    <t>01431887</t>
  </si>
  <si>
    <t>조덕현</t>
  </si>
  <si>
    <t>01432650</t>
  </si>
  <si>
    <t>01436269</t>
  </si>
  <si>
    <t>송성미</t>
  </si>
  <si>
    <t>01437479</t>
  </si>
  <si>
    <t>정현석</t>
  </si>
  <si>
    <t>01438032</t>
  </si>
  <si>
    <t>윤인섭</t>
  </si>
  <si>
    <t>CG002539</t>
  </si>
  <si>
    <t>양신애</t>
  </si>
  <si>
    <t>01441910</t>
  </si>
  <si>
    <t>황교성</t>
  </si>
  <si>
    <t>01441912</t>
  </si>
  <si>
    <t>01446776</t>
  </si>
  <si>
    <t>조희웅</t>
  </si>
  <si>
    <t>01454785</t>
  </si>
  <si>
    <t>권유미</t>
  </si>
  <si>
    <t>01454786</t>
  </si>
  <si>
    <t>윤재원</t>
  </si>
  <si>
    <t>01460697</t>
  </si>
  <si>
    <t>김무정</t>
  </si>
  <si>
    <t>01460702</t>
  </si>
  <si>
    <t>김혜경</t>
  </si>
  <si>
    <t>01460707</t>
  </si>
  <si>
    <t>양형우</t>
  </si>
  <si>
    <t>01461306</t>
  </si>
  <si>
    <t>01461308</t>
  </si>
  <si>
    <t>유윤종</t>
  </si>
  <si>
    <t>01461313</t>
  </si>
  <si>
    <t>임혜원</t>
  </si>
  <si>
    <t>01462668</t>
  </si>
  <si>
    <t>김성호</t>
  </si>
  <si>
    <t>01463959</t>
  </si>
  <si>
    <t>임형섭</t>
  </si>
  <si>
    <t>01469254</t>
  </si>
  <si>
    <t>01469300</t>
  </si>
  <si>
    <t>진현우</t>
  </si>
  <si>
    <t>01512229</t>
  </si>
  <si>
    <t>01562849</t>
  </si>
  <si>
    <t>구지성</t>
  </si>
  <si>
    <t>01573126</t>
  </si>
  <si>
    <t>강동우</t>
  </si>
  <si>
    <t>01577818</t>
  </si>
  <si>
    <t>신보경</t>
  </si>
  <si>
    <t>01579088</t>
  </si>
  <si>
    <t>박소현</t>
  </si>
  <si>
    <t>01580592</t>
  </si>
  <si>
    <t>배창완</t>
  </si>
  <si>
    <t>01585484</t>
  </si>
  <si>
    <t>신준범</t>
  </si>
  <si>
    <t>01596366</t>
  </si>
  <si>
    <t>이난진</t>
  </si>
  <si>
    <t>01597212</t>
  </si>
  <si>
    <t>김민정</t>
  </si>
  <si>
    <t>01609261</t>
  </si>
  <si>
    <t>김민승</t>
  </si>
  <si>
    <t>01609276</t>
  </si>
  <si>
    <t>전묘빈</t>
  </si>
  <si>
    <t>01613838</t>
  </si>
  <si>
    <t>이세이</t>
  </si>
  <si>
    <t>01614067</t>
  </si>
  <si>
    <t>김정은</t>
  </si>
  <si>
    <t>01615141</t>
  </si>
  <si>
    <t>김종현</t>
  </si>
  <si>
    <t>01632327</t>
  </si>
  <si>
    <t>이민정</t>
  </si>
  <si>
    <t>01635123</t>
  </si>
  <si>
    <t>전진영</t>
  </si>
  <si>
    <t>01636516</t>
  </si>
  <si>
    <t>김성미</t>
  </si>
  <si>
    <t>01648542</t>
  </si>
  <si>
    <t>고은정</t>
  </si>
  <si>
    <t>01651494</t>
  </si>
  <si>
    <t>장혁</t>
  </si>
  <si>
    <t>01656641</t>
  </si>
  <si>
    <t>심명기</t>
  </si>
  <si>
    <t>01658875</t>
  </si>
  <si>
    <t>신보라</t>
  </si>
  <si>
    <t>01667333</t>
  </si>
  <si>
    <t>이경원</t>
  </si>
  <si>
    <t>01668614</t>
  </si>
  <si>
    <t>김미강</t>
  </si>
  <si>
    <t>01672492</t>
  </si>
  <si>
    <t>이지수</t>
  </si>
  <si>
    <t>01673056</t>
  </si>
  <si>
    <t>박상인</t>
  </si>
  <si>
    <t>01673058</t>
  </si>
  <si>
    <t>정지헌</t>
  </si>
  <si>
    <t>01673061</t>
  </si>
  <si>
    <t>최지호</t>
  </si>
  <si>
    <t>01673065</t>
  </si>
  <si>
    <t>김봉환</t>
  </si>
  <si>
    <t>01669815</t>
  </si>
  <si>
    <t>조민준</t>
  </si>
  <si>
    <t>01675799</t>
  </si>
  <si>
    <t>현세훈</t>
  </si>
  <si>
    <t>01678959</t>
  </si>
  <si>
    <t>송유종</t>
  </si>
  <si>
    <t>01681612</t>
  </si>
  <si>
    <t>김기환</t>
  </si>
  <si>
    <t>01681626</t>
  </si>
  <si>
    <t>정진수</t>
  </si>
  <si>
    <t>01681640</t>
  </si>
  <si>
    <t>박지호</t>
  </si>
  <si>
    <t>01681651</t>
  </si>
  <si>
    <t>김선창</t>
  </si>
  <si>
    <t>01684668</t>
  </si>
  <si>
    <t>서형경</t>
  </si>
  <si>
    <t>01687004</t>
  </si>
  <si>
    <t>이다민</t>
  </si>
  <si>
    <t>01686959</t>
  </si>
  <si>
    <t>권순일</t>
  </si>
  <si>
    <t>01687674</t>
  </si>
  <si>
    <t>이동기</t>
  </si>
  <si>
    <t>01693537</t>
  </si>
  <si>
    <t>이민혜</t>
  </si>
  <si>
    <t>01694648</t>
  </si>
  <si>
    <t>신동희</t>
  </si>
  <si>
    <t>01694903</t>
  </si>
  <si>
    <t>김두화</t>
  </si>
  <si>
    <t>01696134</t>
  </si>
  <si>
    <t>성정민</t>
  </si>
  <si>
    <t>01696187</t>
  </si>
  <si>
    <t>정원기</t>
  </si>
  <si>
    <t>01696696</t>
  </si>
  <si>
    <t>정정환</t>
  </si>
  <si>
    <t>01697946</t>
  </si>
  <si>
    <t>유영림</t>
  </si>
  <si>
    <t>01697948</t>
  </si>
  <si>
    <t>김혜미</t>
  </si>
  <si>
    <t>01698010</t>
  </si>
  <si>
    <t>온다희</t>
  </si>
  <si>
    <t>01698257</t>
  </si>
  <si>
    <t>오준석</t>
  </si>
  <si>
    <t>01699558</t>
  </si>
  <si>
    <t>전미라</t>
  </si>
  <si>
    <t>01699542</t>
  </si>
  <si>
    <t>박상훈</t>
  </si>
  <si>
    <t>01699809</t>
  </si>
  <si>
    <t>정희진</t>
  </si>
  <si>
    <t>01701122</t>
  </si>
  <si>
    <t>이채원</t>
  </si>
  <si>
    <t>01702071</t>
  </si>
  <si>
    <t>조현명</t>
  </si>
  <si>
    <t>01702276</t>
  </si>
  <si>
    <t>최원희</t>
  </si>
  <si>
    <t>01702883</t>
  </si>
  <si>
    <t>나융희</t>
  </si>
  <si>
    <t>01704767</t>
  </si>
  <si>
    <t>김현주</t>
  </si>
  <si>
    <t>01710494</t>
  </si>
  <si>
    <t>송민경</t>
  </si>
  <si>
    <t>01720594</t>
  </si>
  <si>
    <t>최경서</t>
  </si>
  <si>
    <t>01720595</t>
  </si>
  <si>
    <t>임예림</t>
  </si>
  <si>
    <t>01723776</t>
  </si>
  <si>
    <t>송윤경</t>
  </si>
  <si>
    <t>01726064</t>
  </si>
  <si>
    <t>남미연</t>
  </si>
  <si>
    <t>01728327</t>
  </si>
  <si>
    <t>이진성</t>
  </si>
  <si>
    <t>01728328</t>
  </si>
  <si>
    <t>류민수</t>
  </si>
  <si>
    <t>01728334</t>
  </si>
  <si>
    <t>김승환</t>
  </si>
  <si>
    <t>01728341</t>
  </si>
  <si>
    <t>김대현</t>
  </si>
  <si>
    <t>01730213</t>
  </si>
  <si>
    <t>육혜인</t>
  </si>
  <si>
    <t>01744051</t>
  </si>
  <si>
    <t>차범진</t>
  </si>
  <si>
    <t>01744054</t>
  </si>
  <si>
    <t>한문영</t>
  </si>
  <si>
    <t>01744955</t>
  </si>
  <si>
    <t>김철용</t>
  </si>
  <si>
    <t>01762219</t>
  </si>
  <si>
    <t>이재호</t>
  </si>
  <si>
    <t>01774699</t>
  </si>
  <si>
    <t>최은희</t>
  </si>
  <si>
    <t>01777191</t>
  </si>
  <si>
    <t>김은주</t>
  </si>
  <si>
    <t>01779583</t>
  </si>
  <si>
    <t>김현우</t>
  </si>
  <si>
    <t>01781496</t>
  </si>
  <si>
    <t>박예진</t>
  </si>
  <si>
    <t>01781509</t>
  </si>
  <si>
    <t>최인혁</t>
  </si>
  <si>
    <t>01782329</t>
  </si>
  <si>
    <t>이승희</t>
  </si>
  <si>
    <t>01804438</t>
  </si>
  <si>
    <t>이성근</t>
  </si>
  <si>
    <t>01804459</t>
  </si>
  <si>
    <t>임동민</t>
  </si>
  <si>
    <t>01815993</t>
  </si>
  <si>
    <t>01815999</t>
  </si>
  <si>
    <t>고세민</t>
  </si>
  <si>
    <t>01816003</t>
  </si>
  <si>
    <t>유민선</t>
  </si>
  <si>
    <t>01824278</t>
  </si>
  <si>
    <t>최종원</t>
  </si>
  <si>
    <t>01824280</t>
  </si>
  <si>
    <t>01833580</t>
  </si>
  <si>
    <t>이한빈</t>
  </si>
  <si>
    <t>01834321</t>
  </si>
  <si>
    <t>정슬기</t>
  </si>
  <si>
    <t>01834589</t>
  </si>
  <si>
    <t>박관용</t>
  </si>
  <si>
    <t>01837004</t>
  </si>
  <si>
    <t>한유정</t>
  </si>
  <si>
    <t>01837025</t>
  </si>
  <si>
    <t>이나현</t>
  </si>
  <si>
    <t>01837843</t>
  </si>
  <si>
    <t>송현호</t>
  </si>
  <si>
    <t>01838624</t>
  </si>
  <si>
    <t>오민주</t>
  </si>
  <si>
    <t>01839678</t>
  </si>
  <si>
    <t>이지연</t>
  </si>
  <si>
    <t>01843932</t>
  </si>
  <si>
    <t>정선영</t>
  </si>
  <si>
    <t>01843935</t>
  </si>
  <si>
    <t>설동진</t>
  </si>
  <si>
    <t>01857259</t>
  </si>
  <si>
    <t>오한나</t>
  </si>
  <si>
    <t>01865952</t>
  </si>
  <si>
    <t>장유정</t>
  </si>
  <si>
    <t>01393673</t>
  </si>
  <si>
    <t>조광수</t>
  </si>
  <si>
    <t>01880613</t>
  </si>
  <si>
    <t>김유현</t>
  </si>
  <si>
    <t>01884188</t>
  </si>
  <si>
    <t>신가영</t>
  </si>
  <si>
    <t>01884513</t>
  </si>
  <si>
    <t>김덕균</t>
  </si>
  <si>
    <t>01884817</t>
  </si>
  <si>
    <t>한주진</t>
  </si>
  <si>
    <t>01885413</t>
  </si>
  <si>
    <t>백유나</t>
  </si>
  <si>
    <t>01889331</t>
  </si>
  <si>
    <t>이승민</t>
  </si>
  <si>
    <t>01893247</t>
  </si>
  <si>
    <t>현우종</t>
  </si>
  <si>
    <t>01893935</t>
  </si>
  <si>
    <t>은보라</t>
  </si>
  <si>
    <t>01896375</t>
  </si>
  <si>
    <t>김태형</t>
  </si>
  <si>
    <t>01901955</t>
  </si>
  <si>
    <t>정지석</t>
  </si>
  <si>
    <t>01904942</t>
  </si>
  <si>
    <t>김병수</t>
  </si>
  <si>
    <t>01908147</t>
  </si>
  <si>
    <t>김영아</t>
  </si>
  <si>
    <t>01911345</t>
  </si>
  <si>
    <t>홍예지</t>
  </si>
  <si>
    <t>01911347</t>
  </si>
  <si>
    <t>01912831</t>
  </si>
  <si>
    <t>박기주</t>
  </si>
  <si>
    <t>01918948</t>
  </si>
  <si>
    <t>정은아</t>
  </si>
  <si>
    <t>01921270</t>
  </si>
  <si>
    <t>홍동혁</t>
  </si>
  <si>
    <t>01926449</t>
  </si>
  <si>
    <t>양지은</t>
  </si>
  <si>
    <t>01931275</t>
  </si>
  <si>
    <t>김정환</t>
  </si>
  <si>
    <t>01931952</t>
  </si>
  <si>
    <t>박규빈</t>
  </si>
  <si>
    <t>01932972</t>
  </si>
  <si>
    <t>박지원</t>
  </si>
  <si>
    <t>01932973</t>
  </si>
  <si>
    <t>차다열</t>
  </si>
  <si>
    <t>01939624</t>
  </si>
  <si>
    <t>홍기성</t>
  </si>
  <si>
    <t>01941245</t>
  </si>
  <si>
    <t>이재수</t>
  </si>
  <si>
    <t>01946861</t>
  </si>
  <si>
    <t>양희태</t>
  </si>
  <si>
    <t>01948872</t>
  </si>
  <si>
    <t>배성준</t>
  </si>
  <si>
    <t>01426809</t>
  </si>
  <si>
    <t>이종원</t>
  </si>
  <si>
    <t>01951147</t>
  </si>
  <si>
    <t>김영구</t>
  </si>
  <si>
    <t>01954071</t>
  </si>
  <si>
    <t>우혜주</t>
  </si>
  <si>
    <t>01954397</t>
  </si>
  <si>
    <t>안현주</t>
  </si>
  <si>
    <t>01962246</t>
  </si>
  <si>
    <t>홍나경</t>
  </si>
  <si>
    <t>01965130</t>
  </si>
  <si>
    <t>01966829</t>
  </si>
  <si>
    <t>양소영</t>
  </si>
  <si>
    <t>01969648</t>
  </si>
  <si>
    <t>01969650</t>
  </si>
  <si>
    <t>김강민</t>
  </si>
  <si>
    <t>01970313</t>
  </si>
  <si>
    <t>서준영</t>
  </si>
  <si>
    <t>01976294</t>
  </si>
  <si>
    <t>김지은</t>
  </si>
  <si>
    <t>01976560</t>
  </si>
  <si>
    <t>조인아</t>
  </si>
  <si>
    <t>CG002698</t>
  </si>
  <si>
    <t>오은주</t>
  </si>
  <si>
    <t>01985338</t>
  </si>
  <si>
    <t>고슬비</t>
  </si>
  <si>
    <t>01986794</t>
  </si>
  <si>
    <t>현병훈</t>
  </si>
  <si>
    <t>01988478</t>
  </si>
  <si>
    <t>여지원</t>
  </si>
  <si>
    <t>01991835</t>
  </si>
  <si>
    <t>박주선</t>
  </si>
  <si>
    <t>01993463</t>
  </si>
  <si>
    <t>오유정</t>
  </si>
  <si>
    <t>01994458</t>
  </si>
  <si>
    <t>손보경</t>
  </si>
  <si>
    <t>01995230</t>
  </si>
  <si>
    <t>노하민</t>
  </si>
  <si>
    <t>01996226</t>
  </si>
  <si>
    <t>서인원</t>
  </si>
  <si>
    <t>01997698</t>
  </si>
  <si>
    <t>김상희</t>
  </si>
  <si>
    <t>02000302</t>
  </si>
  <si>
    <t>김환</t>
  </si>
  <si>
    <t>02001397</t>
  </si>
  <si>
    <t>최소희</t>
  </si>
  <si>
    <t>02003866</t>
  </si>
  <si>
    <t>백호용</t>
  </si>
  <si>
    <t>02005403</t>
  </si>
  <si>
    <t>권지웅</t>
  </si>
  <si>
    <t>02005786</t>
  </si>
  <si>
    <t>김예림</t>
  </si>
  <si>
    <t>02016526</t>
  </si>
  <si>
    <t>이지은</t>
  </si>
  <si>
    <t>CG002858</t>
  </si>
  <si>
    <t>하헌진</t>
  </si>
  <si>
    <t>02037613</t>
  </si>
  <si>
    <t>전용화</t>
  </si>
  <si>
    <t>02043002</t>
  </si>
  <si>
    <t>유영려</t>
  </si>
  <si>
    <t>02044801</t>
  </si>
  <si>
    <t>우창윤</t>
  </si>
  <si>
    <t>02068691</t>
  </si>
  <si>
    <t>천정호</t>
  </si>
  <si>
    <t>02082996</t>
  </si>
  <si>
    <t>김하림</t>
  </si>
  <si>
    <t>02088254</t>
  </si>
  <si>
    <t>이샛별</t>
  </si>
  <si>
    <t>02094553</t>
  </si>
  <si>
    <t>박세현</t>
  </si>
  <si>
    <t>02095467</t>
  </si>
  <si>
    <t>박은선</t>
  </si>
  <si>
    <t>02096977</t>
  </si>
  <si>
    <t>박차오름</t>
  </si>
  <si>
    <t>02097183</t>
  </si>
  <si>
    <t>한민영</t>
  </si>
  <si>
    <t>02114216</t>
  </si>
  <si>
    <t>이종근</t>
  </si>
  <si>
    <t>01924105</t>
  </si>
  <si>
    <t>로컬리</t>
  </si>
  <si>
    <t>02131639</t>
  </si>
  <si>
    <t>서민지</t>
  </si>
  <si>
    <t>02132305</t>
  </si>
  <si>
    <t>구예준</t>
  </si>
  <si>
    <t>02134111</t>
  </si>
  <si>
    <t>사신원</t>
  </si>
  <si>
    <t>02134643</t>
  </si>
  <si>
    <t>나현영</t>
  </si>
  <si>
    <t>02135490</t>
  </si>
  <si>
    <t>최수빈</t>
  </si>
  <si>
    <t>02135713</t>
  </si>
  <si>
    <t>정유리</t>
  </si>
  <si>
    <t>02137605</t>
  </si>
  <si>
    <t>전민우</t>
  </si>
  <si>
    <t>02137975</t>
  </si>
  <si>
    <t>신재준</t>
  </si>
  <si>
    <t>02138654</t>
  </si>
  <si>
    <t>박윤범</t>
  </si>
  <si>
    <t>02142396</t>
  </si>
  <si>
    <t>김태규</t>
  </si>
  <si>
    <t>02142399</t>
  </si>
  <si>
    <t>이충배</t>
  </si>
  <si>
    <t>02142487</t>
  </si>
  <si>
    <t>홍동현</t>
  </si>
  <si>
    <t>02142880</t>
  </si>
  <si>
    <t>나예나</t>
  </si>
  <si>
    <t>02144808</t>
  </si>
  <si>
    <t>박형필</t>
  </si>
  <si>
    <t>02145245</t>
  </si>
  <si>
    <t>정서로</t>
  </si>
  <si>
    <t>02153122</t>
  </si>
  <si>
    <t>권혁찬</t>
  </si>
  <si>
    <t>02163672</t>
  </si>
  <si>
    <t>이주영</t>
  </si>
  <si>
    <t>02163674</t>
  </si>
  <si>
    <t>전경원</t>
  </si>
  <si>
    <t>02164457</t>
  </si>
  <si>
    <t>우문주</t>
  </si>
  <si>
    <t>02171954</t>
  </si>
  <si>
    <t>조원종</t>
  </si>
  <si>
    <t>02172612</t>
  </si>
  <si>
    <t>홍현</t>
  </si>
  <si>
    <t>02176008</t>
  </si>
  <si>
    <t>양라인</t>
  </si>
  <si>
    <t>02177059</t>
  </si>
  <si>
    <t>제혜린</t>
  </si>
  <si>
    <t>02177180</t>
  </si>
  <si>
    <t>신지민</t>
  </si>
  <si>
    <t>02177384</t>
  </si>
  <si>
    <t>백가영</t>
  </si>
  <si>
    <t>02177388</t>
  </si>
  <si>
    <t>성인규</t>
  </si>
  <si>
    <t>02177390</t>
  </si>
  <si>
    <t>김우중</t>
  </si>
  <si>
    <t>02178092</t>
  </si>
  <si>
    <t>김하린</t>
  </si>
  <si>
    <t>02180233</t>
  </si>
  <si>
    <t>박기범</t>
  </si>
  <si>
    <t>02180838</t>
  </si>
  <si>
    <t>김영진</t>
  </si>
  <si>
    <t>02182708</t>
  </si>
  <si>
    <t>이근하</t>
  </si>
  <si>
    <t>02183936</t>
  </si>
  <si>
    <t>02184758</t>
  </si>
  <si>
    <t>변지수</t>
  </si>
  <si>
    <t>02185536</t>
  </si>
  <si>
    <t>02185736</t>
  </si>
  <si>
    <t>이대한</t>
  </si>
  <si>
    <t>02185996</t>
  </si>
  <si>
    <t>이준석</t>
  </si>
  <si>
    <t>02188526</t>
  </si>
  <si>
    <t>신재식</t>
  </si>
  <si>
    <t>`</t>
    <phoneticPr fontId="2" type="noConversion"/>
  </si>
  <si>
    <t>참석자 이름을 입력하면 사번이 자동으로 입력되도록 수정.
동일한 이름이 여러명일 경우 '사번확인요' 메시지가 출력되고, 사번 셀의 색상이 노란색으로 변경됨. 사번이 다를 경우 수기로 입력하면 메시지 및 노란색 사라지도록 함.</t>
    <phoneticPr fontId="2" type="noConversion"/>
  </si>
  <si>
    <t>이진호(2)</t>
    <phoneticPr fontId="2" type="noConversion"/>
  </si>
  <si>
    <r>
      <t>&lt;</t>
    </r>
    <r>
      <rPr>
        <b/>
        <sz val="10"/>
        <color theme="1"/>
        <rFont val="맑은 고딕"/>
        <family val="2"/>
        <charset val="129"/>
      </rPr>
      <t>법인카드 영수증 - 지원금&gt;</t>
    </r>
  </si>
  <si>
    <r>
      <t>&lt;</t>
    </r>
    <r>
      <rPr>
        <b/>
        <sz val="10"/>
        <color theme="1"/>
        <rFont val="맑은 고딕"/>
        <family val="2"/>
        <charset val="129"/>
      </rPr>
      <t>개인카드 영수증 - 자부담&gt;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</si>
</sst>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_ "/>
    <numFmt numFmtId="165" formatCode="0.0%"/>
  </numFmts>
  <fonts count="18">
    <font>
      <sz val="10"/>
      <color theme="1"/>
      <name val="3M Circular TT Book"/>
      <family val="2"/>
      <charset val="129"/>
    </font>
    <font>
      <sz val="10"/>
      <color theme="1"/>
      <name val="3M Circular TT Book"/>
      <family val="2"/>
      <charset val="129"/>
    </font>
    <font>
      <sz val="8"/>
      <name val="3M Circular TT Book"/>
      <family val="2"/>
      <charset val="129"/>
    </font>
    <font>
      <sz val="11"/>
      <color theme="1"/>
      <name val="맑은 고딕"/>
      <family val="3"/>
      <charset val="129"/>
    </font>
    <font>
      <sz val="11"/>
      <name val="돋움"/>
      <family val="3"/>
      <charset val="129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0"/>
      <color theme="1"/>
      <name val="Calibri Light"/>
      <family val="3"/>
      <charset val="129"/>
      <scheme val="major"/>
    </font>
    <font>
      <b/>
      <sz val="14"/>
      <color theme="1"/>
      <name val="Calibri Light"/>
      <family val="3"/>
      <charset val="129"/>
      <scheme val="major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Calibri"/>
      <family val="2"/>
      <scheme val="minor"/>
    </font>
    <font>
      <sz val="10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theme="1"/>
      <name val="3M Circular TT Book"/>
      <family val="2"/>
      <charset val="129"/>
    </font>
    <font>
      <b/>
      <sz val="10"/>
      <color theme="1"/>
      <name val="맑은 고딕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0080"/>
        <bgColor rgb="FF000000"/>
      </patternFill>
    </fill>
    <fill>
      <patternFill patternType="solid">
        <fgColor rgb="FFBFBFB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  <xf numFmtId="0" fontId="13" fillId="0" borderId="0"/>
  </cellStyleXfs>
  <cellXfs count="5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 indent="1"/>
    </xf>
    <xf numFmtId="164" fontId="3" fillId="0" borderId="0" xfId="0" applyNumberFormat="1" applyFont="1">
      <alignment vertical="center"/>
    </xf>
    <xf numFmtId="164" fontId="6" fillId="0" borderId="0" xfId="1" applyNumberFormat="1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38" fontId="3" fillId="0" borderId="0" xfId="0" applyNumberFormat="1" applyFont="1">
      <alignment vertical="center"/>
    </xf>
    <xf numFmtId="38" fontId="3" fillId="0" borderId="1" xfId="0" applyNumberFormat="1" applyFont="1" applyBorder="1">
      <alignment vertical="center"/>
    </xf>
    <xf numFmtId="0" fontId="3" fillId="0" borderId="1" xfId="0" applyFont="1" applyBorder="1" applyAlignment="1">
      <alignment horizontal="left" vertical="center" indent="2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>
      <alignment vertical="center"/>
    </xf>
    <xf numFmtId="9" fontId="5" fillId="0" borderId="0" xfId="1" applyFont="1" applyAlignment="1">
      <alignment horizontal="left" vertical="center" indent="1"/>
    </xf>
    <xf numFmtId="38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7" fillId="3" borderId="1" xfId="0" applyFont="1" applyFill="1" applyBorder="1">
      <alignment vertical="center"/>
    </xf>
    <xf numFmtId="165" fontId="3" fillId="0" borderId="1" xfId="1" applyNumberFormat="1" applyFont="1" applyBorder="1" applyAlignment="1">
      <alignment vertical="center"/>
    </xf>
    <xf numFmtId="38" fontId="3" fillId="0" borderId="4" xfId="0" applyNumberFormat="1" applyFont="1" applyBorder="1">
      <alignment vertical="center"/>
    </xf>
    <xf numFmtId="0" fontId="3" fillId="0" borderId="3" xfId="0" applyFont="1" applyBorder="1">
      <alignment vertical="center"/>
    </xf>
    <xf numFmtId="164" fontId="3" fillId="0" borderId="3" xfId="0" applyNumberFormat="1" applyFont="1" applyBorder="1">
      <alignment vertical="center"/>
    </xf>
    <xf numFmtId="0" fontId="3" fillId="0" borderId="4" xfId="0" applyFont="1" applyBorder="1" applyAlignment="1">
      <alignment horizontal="left" vertical="center" indent="3"/>
    </xf>
    <xf numFmtId="0" fontId="7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164" fontId="5" fillId="0" borderId="0" xfId="0" applyNumberFormat="1" applyFont="1" applyAlignment="1">
      <alignment vertical="center" wrapText="1"/>
    </xf>
    <xf numFmtId="0" fontId="7" fillId="6" borderId="1" xfId="0" applyFont="1" applyFill="1" applyBorder="1">
      <alignment vertical="center"/>
    </xf>
    <xf numFmtId="164" fontId="3" fillId="4" borderId="1" xfId="0" applyNumberFormat="1" applyFont="1" applyFill="1" applyBorder="1">
      <alignment vertical="center"/>
    </xf>
    <xf numFmtId="164" fontId="5" fillId="0" borderId="0" xfId="0" applyNumberFormat="1" applyFont="1" applyAlignment="1">
      <alignment horizontal="left" vertical="center" indent="1"/>
    </xf>
    <xf numFmtId="0" fontId="11" fillId="5" borderId="1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center" indent="1"/>
    </xf>
    <xf numFmtId="0" fontId="12" fillId="0" borderId="1" xfId="0" applyFont="1" applyBorder="1" applyAlignment="1">
      <alignment horizontal="left" vertical="center" wrapText="1" indent="1"/>
    </xf>
    <xf numFmtId="0" fontId="14" fillId="7" borderId="1" xfId="3" applyFont="1" applyFill="1" applyBorder="1" applyAlignment="1">
      <alignment wrapText="1"/>
    </xf>
    <xf numFmtId="0" fontId="14" fillId="7" borderId="5" xfId="3" applyFont="1" applyFill="1" applyBorder="1" applyAlignment="1">
      <alignment wrapText="1"/>
    </xf>
    <xf numFmtId="0" fontId="13" fillId="0" borderId="0" xfId="3"/>
    <xf numFmtId="0" fontId="15" fillId="8" borderId="6" xfId="3" applyFont="1" applyFill="1" applyBorder="1"/>
    <xf numFmtId="0" fontId="15" fillId="8" borderId="7" xfId="3" applyFont="1" applyFill="1" applyBorder="1"/>
    <xf numFmtId="0" fontId="13" fillId="0" borderId="0" xfId="3" applyAlignment="1">
      <alignment horizontal="center"/>
    </xf>
    <xf numFmtId="0" fontId="15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8" fillId="0" borderId="3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">
    <cellStyle name="백분율" xfId="1" builtinId="5"/>
    <cellStyle name="표준" xfId="0" builtinId="0"/>
    <cellStyle name="표준 2" xfId="2" xr:uid="{16015A8C-1570-41CD-A27A-39B5144E1E22}"/>
    <cellStyle name="표준 3" xfId="3" xr:uid="{57BB8973-057C-4C9B-B1ED-00C729E00795}"/>
  </cellStyles>
  <dxfs count="3"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 patternType="solid"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AF381FDA-B371-432F-A276-47407FCBDD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87E2-B692-4664-A9BB-1F226C0DF8FD}">
  <dimension ref="A1:B5"/>
  <sheetViews>
    <sheetView showGridLines="0" workbookViewId="0">
      <selection activeCell="B6" sqref="B6"/>
    </sheetView>
  </sheetViews>
  <sheetFormatPr defaultColWidth="9" defaultRowHeight="16"/>
  <cols>
    <col min="1" max="1" width="9" style="36"/>
    <col min="2" max="2" width="122.08203125" style="34" customWidth="1"/>
    <col min="3" max="16384" width="9" style="34"/>
  </cols>
  <sheetData>
    <row r="1" spans="1:2">
      <c r="A1" s="33" t="s">
        <v>32</v>
      </c>
      <c r="B1" s="33" t="s">
        <v>33</v>
      </c>
    </row>
    <row r="2" spans="1:2">
      <c r="A2" s="35">
        <v>1</v>
      </c>
      <c r="B2" s="37" t="s">
        <v>34</v>
      </c>
    </row>
    <row r="3" spans="1:2" ht="64">
      <c r="A3" s="35">
        <v>2</v>
      </c>
      <c r="B3" s="38" t="s">
        <v>35</v>
      </c>
    </row>
    <row r="4" spans="1:2">
      <c r="A4" s="35">
        <v>3</v>
      </c>
      <c r="B4" s="38" t="s">
        <v>36</v>
      </c>
    </row>
    <row r="5" spans="1:2" ht="48">
      <c r="A5" s="35">
        <v>4</v>
      </c>
      <c r="B5" s="38" t="s">
        <v>2626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00902-1C1D-4A8D-87DB-C7E4D122E893}">
  <dimension ref="B2:R124"/>
  <sheetViews>
    <sheetView showGridLines="0" tabSelected="1" zoomScale="85" zoomScaleNormal="85" workbookViewId="0">
      <selection activeCell="F6" sqref="F6"/>
    </sheetView>
  </sheetViews>
  <sheetFormatPr defaultColWidth="9" defaultRowHeight="17"/>
  <cols>
    <col min="1" max="3" width="9" style="2"/>
    <col min="4" max="4" width="13.75" style="2" bestFit="1" customWidth="1"/>
    <col min="5" max="5" width="12.08203125" style="2" customWidth="1"/>
    <col min="6" max="6" width="28.33203125" style="2" customWidth="1"/>
    <col min="7" max="7" width="15.58203125" style="2" customWidth="1"/>
    <col min="8" max="8" width="18.25" style="2" customWidth="1"/>
    <col min="9" max="9" width="9" style="2"/>
    <col min="10" max="10" width="32.5" style="3" customWidth="1"/>
    <col min="11" max="11" width="26" style="5" customWidth="1"/>
    <col min="12" max="12" width="26" style="2" customWidth="1"/>
    <col min="13" max="13" width="39.58203125" style="2" customWidth="1"/>
    <col min="14" max="14" width="9" style="2"/>
    <col min="15" max="16" width="12.75" style="2" customWidth="1"/>
    <col min="17" max="16384" width="9" style="2"/>
  </cols>
  <sheetData>
    <row r="2" spans="2:18">
      <c r="B2" s="49"/>
      <c r="C2" s="50"/>
      <c r="D2" s="4" t="s">
        <v>23</v>
      </c>
    </row>
    <row r="4" spans="2:18">
      <c r="B4" s="7" t="s">
        <v>4</v>
      </c>
      <c r="C4" s="7" t="s">
        <v>24</v>
      </c>
      <c r="D4" s="7" t="s">
        <v>0</v>
      </c>
      <c r="F4" s="7" t="s">
        <v>1</v>
      </c>
      <c r="G4" s="7" t="s">
        <v>2</v>
      </c>
      <c r="H4" s="7" t="s">
        <v>3</v>
      </c>
      <c r="J4" s="15" t="s">
        <v>5</v>
      </c>
      <c r="K4" s="9">
        <f>COUNTA(D5:D124)</f>
        <v>0</v>
      </c>
    </row>
    <row r="5" spans="2:18">
      <c r="B5" s="1">
        <v>1</v>
      </c>
      <c r="C5" s="1" t="str">
        <f>IF(D5="","",_xlfn.XLOOKUP(D5,'Global ID'!$C$1:$C$2000,'Global ID'!$B$1:$B$2000,,0))</f>
        <v/>
      </c>
      <c r="D5" s="23"/>
      <c r="E5" s="2" t="str">
        <f>IF(NOT(_xlfn.ISFORMULA(C5)),"",IF(D5="","",IF(COUNTIF('Global ID'!$C$1:$C$2000,D5)&gt;1,"사번확인요","")))</f>
        <v/>
      </c>
      <c r="F5" s="23"/>
      <c r="G5" s="25"/>
      <c r="H5" s="23"/>
    </row>
    <row r="6" spans="2:18">
      <c r="B6" s="1">
        <v>2</v>
      </c>
      <c r="C6" s="1" t="str">
        <f>IF(D6="","",_xlfn.XLOOKUP(D6,'Global ID'!$C$1:$C$2000,'Global ID'!$B$1:$B$2000,,0))</f>
        <v/>
      </c>
      <c r="D6" s="23"/>
      <c r="E6" s="2" t="str">
        <f>IF(NOT(_xlfn.ISFORMULA(C6)),"",IF(D6="","",IF(COUNTIF('Global ID'!$C:$C,D6)&gt;1,"사번확인요","")))</f>
        <v/>
      </c>
      <c r="F6" s="23"/>
      <c r="G6" s="25"/>
      <c r="H6" s="23"/>
      <c r="J6" s="15" t="s">
        <v>6</v>
      </c>
      <c r="K6" s="9">
        <f>SUM(G5:G25)</f>
        <v>0</v>
      </c>
    </row>
    <row r="7" spans="2:18">
      <c r="B7" s="1">
        <v>3</v>
      </c>
      <c r="C7" s="1" t="str">
        <f>IF(D7="","",_xlfn.XLOOKUP(D7,'Global ID'!$C$1:$C$2000,'Global ID'!$B$1:$B$2000,,0))</f>
        <v/>
      </c>
      <c r="D7" s="23"/>
      <c r="E7" s="2" t="str">
        <f>IF(NOT(_xlfn.ISFORMULA(C7)),"",IF(D7="","",IF(COUNTIF('Global ID'!$C:$C,D7)&gt;1,"사번확인요","")))</f>
        <v/>
      </c>
      <c r="F7" s="23"/>
      <c r="G7" s="25"/>
      <c r="H7" s="23"/>
      <c r="J7" s="10" t="s">
        <v>7</v>
      </c>
      <c r="K7" s="9">
        <f>SUMIF($H$5:$H$25,"행사비",$G$5:$G$25)</f>
        <v>0</v>
      </c>
    </row>
    <row r="8" spans="2:18">
      <c r="B8" s="1">
        <v>4</v>
      </c>
      <c r="C8" s="1" t="str">
        <f>IF(D8="","",_xlfn.XLOOKUP(D8,'Global ID'!$C$1:$C$2000,'Global ID'!$B$1:$B$2000,,0))</f>
        <v/>
      </c>
      <c r="D8" s="23"/>
      <c r="E8" s="2" t="str">
        <f>IF(NOT(_xlfn.ISFORMULA(C8)),"",IF(D8="","",IF(COUNTIF('Global ID'!$C:$C,D8)&gt;1,"사번확인요","")))</f>
        <v/>
      </c>
      <c r="F8" s="23"/>
      <c r="G8" s="25"/>
      <c r="H8" s="23"/>
      <c r="J8" s="10" t="s">
        <v>8</v>
      </c>
      <c r="K8" s="9">
        <f>SUMIF($H$5:$H$25,"시설 및 장비 이용료",$G$5:$G$25)</f>
        <v>0</v>
      </c>
    </row>
    <row r="9" spans="2:18" ht="16.5" customHeight="1">
      <c r="B9" s="1">
        <v>5</v>
      </c>
      <c r="C9" s="1" t="str">
        <f>IF(D9="","",_xlfn.XLOOKUP(D9,'Global ID'!$C$1:$C$2000,'Global ID'!$B$1:$B$2000,,0))</f>
        <v/>
      </c>
      <c r="D9" s="23"/>
      <c r="E9" s="2" t="str">
        <f>IF(NOT(_xlfn.ISFORMULA(C9)),"",IF(D9="","",IF(COUNTIF('Global ID'!$C:$C,D9)&gt;1,"사번확인요","")))</f>
        <v/>
      </c>
      <c r="F9" s="23"/>
      <c r="G9" s="25"/>
      <c r="H9" s="23"/>
      <c r="J9" s="10" t="s">
        <v>9</v>
      </c>
      <c r="K9" s="9">
        <f>SUMIF($H$5:$H$25,"상품",$G$5:$G$25)</f>
        <v>0</v>
      </c>
      <c r="L9" s="51" t="str">
        <f>IF(K9=0,"",IF(K4&lt;10,"필요 참석자 수 부족. 최소 정회원 10명 이상 참석 시 상품비 사용 가능. 상품비 "&amp;TEXT(K9,"0,0")&amp;"원 전액 행사비에 포함 후 정산",IF((K9+SUM(G30:G34))&gt;500000,"상품비 연 50만원 초과 불가. 총 상품비용 "&amp;TEXT(K9+SUM(G30:G34),"0,0")&amp;"으로, 초과 금액 "&amp;TEXT((K9+SUM(G30:G34))-500000,"0,0")&amp;"원은 행사비에 포함 후 정산","")))</f>
        <v/>
      </c>
      <c r="M9" s="51"/>
      <c r="N9" s="26"/>
      <c r="O9" s="26"/>
      <c r="P9" s="26"/>
      <c r="Q9" s="26"/>
      <c r="R9" s="26"/>
    </row>
    <row r="10" spans="2:18">
      <c r="B10" s="1">
        <v>6</v>
      </c>
      <c r="C10" s="1" t="str">
        <f>IF(D10="","",_xlfn.XLOOKUP(D10,'Global ID'!$C$1:$C$2000,'Global ID'!$B$1:$B$2000,,0))</f>
        <v/>
      </c>
      <c r="D10" s="23"/>
      <c r="E10" s="2" t="str">
        <f>IF(NOT(_xlfn.ISFORMULA(C10)),"",IF(D10="","",IF(COUNTIF('Global ID'!$C:$C,D10)&gt;1,"사번확인요","")))</f>
        <v/>
      </c>
      <c r="F10" s="23"/>
      <c r="G10" s="25"/>
      <c r="H10" s="23"/>
      <c r="J10" s="21" t="str">
        <f>"※ 본 행사 상품비 잔여 한도: "&amp;TEXT(500000-SUM(G30:G34),"0,0")&amp;"원"</f>
        <v>※ 본 행사 상품비 잔여 한도: 500,000원</v>
      </c>
      <c r="K10" s="18"/>
      <c r="L10" s="51"/>
      <c r="M10" s="51"/>
      <c r="N10" s="26"/>
      <c r="O10" s="26"/>
      <c r="P10" s="26"/>
      <c r="Q10" s="26"/>
      <c r="R10" s="26"/>
    </row>
    <row r="11" spans="2:18">
      <c r="B11" s="1">
        <v>7</v>
      </c>
      <c r="C11" s="1" t="str">
        <f>IF(D11="","",_xlfn.XLOOKUP(D11,'Global ID'!$C$1:$C$2000,'Global ID'!$B$1:$B$2000,,0))</f>
        <v/>
      </c>
      <c r="D11" s="23"/>
      <c r="E11" s="2" t="str">
        <f>IF(NOT(_xlfn.ISFORMULA(C11)),"",IF(D11="","",IF(COUNTIF('Global ID'!$C:$C,D11)&gt;1,"사번확인요","")))</f>
        <v/>
      </c>
      <c r="F11" s="23"/>
      <c r="G11" s="25"/>
      <c r="H11" s="23"/>
      <c r="J11" s="19"/>
      <c r="K11" s="20"/>
    </row>
    <row r="12" spans="2:18">
      <c r="B12" s="1">
        <v>8</v>
      </c>
      <c r="C12" s="1" t="str">
        <f>IF(D12="","",_xlfn.XLOOKUP(D12,'Global ID'!$C$1:$C$2000,'Global ID'!$B$1:$B$2000,,0))</f>
        <v/>
      </c>
      <c r="D12" s="23"/>
      <c r="E12" s="2" t="str">
        <f>IF(NOT(_xlfn.ISFORMULA(C12)),"",IF(D12="","",IF(COUNTIF('Global ID'!$C:$C,D12)&gt;1,"사번확인요","")))</f>
        <v/>
      </c>
      <c r="F12" s="23"/>
      <c r="G12" s="25"/>
      <c r="H12" s="23"/>
      <c r="J12" s="15" t="s">
        <v>10</v>
      </c>
      <c r="K12" s="9" t="str" cm="1">
        <f t="array" ref="K12">IF(K4=0,"",_xlfn.IFS(K4&lt;10,(K7+K9)/K4,K9+SUM(G30:G34)&gt;500000,(K7+(K9+SUM(G30:G34)-500000))/K4,AND(K4&gt;=10,K9+SUM(G30:G34)&lt;=500000),K7/K4))</f>
        <v/>
      </c>
      <c r="L12" s="13" t="str" cm="1">
        <f t="array" ref="L12">IF(K7=0,"",_xlfn.IFS($K$12="","",$K$12&lt;=30000, "전액지원", $K$12&lt;=60000, "20% 자체 부담", $K$12&lt;=120000, "'나' 구간 자부담 비용 + 60,000원 초과 금액에 대해 40% 자체 부담", $K$12&gt;120000, "85,000원 이외 금액 자체 부담(최대 인당 8.5만원 지원)"))</f>
        <v/>
      </c>
    </row>
    <row r="13" spans="2:18">
      <c r="B13" s="1">
        <v>9</v>
      </c>
      <c r="C13" s="1" t="str">
        <f>IF(D13="","",_xlfn.XLOOKUP(D13,'Global ID'!$C$1:$C$2000,'Global ID'!$B$1:$B$2000,,0))</f>
        <v/>
      </c>
      <c r="D13" s="23"/>
      <c r="E13" s="2" t="str">
        <f>IF(NOT(_xlfn.ISFORMULA(C13)),"",IF(D13="","",IF(COUNTIF('Global ID'!$C:$C,D13)&gt;1,"사번확인요","")))</f>
        <v/>
      </c>
      <c r="F13" s="23"/>
      <c r="G13" s="25"/>
      <c r="H13" s="23"/>
      <c r="K13" s="8"/>
    </row>
    <row r="14" spans="2:18">
      <c r="B14" s="1">
        <v>10</v>
      </c>
      <c r="C14" s="1" t="str">
        <f>IF(D14="","",_xlfn.XLOOKUP(D14,'Global ID'!$C$1:$C$2000,'Global ID'!$B$1:$B$2000,,0))</f>
        <v/>
      </c>
      <c r="D14" s="23"/>
      <c r="E14" s="2" t="str">
        <f>IF(NOT(_xlfn.ISFORMULA(C14)),"",IF(D14="","",IF(COUNTIF('Global ID'!$C:$C,D14)&gt;1,"사번확인요","")))</f>
        <v/>
      </c>
      <c r="F14" s="23"/>
      <c r="G14" s="25"/>
      <c r="H14" s="23"/>
      <c r="J14" s="7" t="s">
        <v>17</v>
      </c>
      <c r="K14" s="14" t="s">
        <v>16</v>
      </c>
      <c r="L14" s="7" t="s">
        <v>15</v>
      </c>
    </row>
    <row r="15" spans="2:18">
      <c r="B15" s="1">
        <v>11</v>
      </c>
      <c r="C15" s="1" t="str">
        <f>IF(D15="","",_xlfn.XLOOKUP(D15,'Global ID'!$C$1:$C$2000,'Global ID'!$B$1:$B$2000,,0))</f>
        <v/>
      </c>
      <c r="D15" s="23"/>
      <c r="E15" s="2" t="str">
        <f>IF(NOT(_xlfn.ISFORMULA(C15)),"",IF(D15="","",IF(COUNTIF('Global ID'!$C:$C,D15)&gt;1,"사번확인요","")))</f>
        <v/>
      </c>
      <c r="F15" s="23"/>
      <c r="G15" s="25"/>
      <c r="H15" s="23"/>
      <c r="J15" s="11" t="s">
        <v>11</v>
      </c>
      <c r="K15" s="9" cm="1">
        <f t="array" ref="K15">_xlfn.IFS(K12&lt;=30000,K12,K12&gt;30000,0)</f>
        <v>0</v>
      </c>
      <c r="L15" s="9">
        <f>K15*0</f>
        <v>0</v>
      </c>
    </row>
    <row r="16" spans="2:18">
      <c r="B16" s="1">
        <v>12</v>
      </c>
      <c r="C16" s="1" t="str">
        <f>IF(D16="","",_xlfn.XLOOKUP(D16,'Global ID'!$C$1:$C$2000,'Global ID'!$B$1:$B$2000,,0))</f>
        <v/>
      </c>
      <c r="D16" s="23"/>
      <c r="E16" s="2" t="str">
        <f>IF(NOT(_xlfn.ISFORMULA(C16)),"",IF(D16="","",IF(COUNTIF('Global ID'!$C:$C,D16)&gt;1,"사번확인요","")))</f>
        <v/>
      </c>
      <c r="F16" s="23"/>
      <c r="G16" s="25"/>
      <c r="H16" s="23"/>
      <c r="J16" s="11" t="s">
        <v>12</v>
      </c>
      <c r="K16" s="9" cm="1">
        <f t="array" ref="K16">_xlfn.IFS(OR(K12&lt;=30000,K12&gt;120000),0,AND(K12&gt;30000,K12&lt;=60000),K12,K12&gt;60000,60000)</f>
        <v>0</v>
      </c>
      <c r="L16" s="9">
        <f>K16*20%</f>
        <v>0</v>
      </c>
    </row>
    <row r="17" spans="2:18">
      <c r="B17" s="1">
        <v>13</v>
      </c>
      <c r="C17" s="1" t="str">
        <f>IF(D17="","",_xlfn.XLOOKUP(D17,'Global ID'!$C$1:$C$2000,'Global ID'!$B$1:$B$2000,,0))</f>
        <v/>
      </c>
      <c r="D17" s="23"/>
      <c r="E17" s="2" t="str">
        <f>IF(NOT(_xlfn.ISFORMULA(C17)),"",IF(D17="","",IF(COUNTIF('Global ID'!$C:$C,D17)&gt;1,"사번확인요","")))</f>
        <v/>
      </c>
      <c r="F17" s="23"/>
      <c r="G17" s="25"/>
      <c r="H17" s="23"/>
      <c r="J17" s="11" t="s">
        <v>13</v>
      </c>
      <c r="K17" s="9" cm="1">
        <f t="array" ref="K17">_xlfn.IFS(OR(K12&lt;=60000,K12&gt;120000),0,AND(K12&gt;60000,K12&lt;=120000),K12-60000,K12&gt;120000,60000)</f>
        <v>0</v>
      </c>
      <c r="L17" s="9">
        <f>K17*40%</f>
        <v>0</v>
      </c>
    </row>
    <row r="18" spans="2:18">
      <c r="B18" s="1">
        <v>14</v>
      </c>
      <c r="C18" s="1" t="str">
        <f>IF(D18="","",_xlfn.XLOOKUP(D18,'Global ID'!$C$1:$C$2000,'Global ID'!$B$1:$B$2000,,0))</f>
        <v/>
      </c>
      <c r="D18" s="23"/>
      <c r="E18" s="2" t="str">
        <f>IF(NOT(_xlfn.ISFORMULA(C18)),"",IF(D18="","",IF(COUNTIF('Global ID'!$C:$C,D18)&gt;1,"사번확인요","")))</f>
        <v/>
      </c>
      <c r="F18" s="23"/>
      <c r="G18" s="25"/>
      <c r="H18" s="23"/>
      <c r="J18" s="11" t="s">
        <v>14</v>
      </c>
      <c r="K18" s="9" t="str" cm="1">
        <f t="array" ref="K18">_xlfn.IFS(K12&lt;=120000,0,K12&gt;120000,K12)</f>
        <v/>
      </c>
      <c r="L18" s="9" t="str">
        <f>IF(ISERROR(IF(K18=0,0,K18-85000)),"",IF(K18=0,0,K18-85000))</f>
        <v/>
      </c>
    </row>
    <row r="19" spans="2:18">
      <c r="B19" s="1">
        <v>15</v>
      </c>
      <c r="C19" s="1" t="str">
        <f>IF(D19="","",_xlfn.XLOOKUP(D19,'Global ID'!$C$1:$C$2000,'Global ID'!$B$1:$B$2000,,0))</f>
        <v/>
      </c>
      <c r="D19" s="23"/>
      <c r="E19" s="2" t="str">
        <f>IF(NOT(_xlfn.ISFORMULA(C19)),"",IF(D19="","",IF(COUNTIF('Global ID'!$C:$C,D19)&gt;1,"사번확인요","")))</f>
        <v/>
      </c>
      <c r="F19" s="23"/>
      <c r="G19" s="25"/>
      <c r="H19" s="23"/>
    </row>
    <row r="20" spans="2:18">
      <c r="B20" s="1">
        <v>16</v>
      </c>
      <c r="C20" s="1" t="str">
        <f>IF(D20="","",_xlfn.XLOOKUP(D20,'Global ID'!$C$1:$C$2000,'Global ID'!$B$1:$B$2000,,0))</f>
        <v/>
      </c>
      <c r="D20" s="23"/>
      <c r="E20" s="2" t="str">
        <f>IF(NOT(_xlfn.ISFORMULA(C20)),"",IF(D20="","",IF(COUNTIF('Global ID'!$C:$C,D20)&gt;1,"사번확인요","")))</f>
        <v/>
      </c>
      <c r="F20" s="23"/>
      <c r="G20" s="25"/>
      <c r="H20" s="23"/>
      <c r="J20" s="15" t="s">
        <v>29</v>
      </c>
      <c r="K20" s="12">
        <f>SUM(L15:L18)</f>
        <v>0</v>
      </c>
      <c r="R20" s="6"/>
    </row>
    <row r="21" spans="2:18">
      <c r="B21" s="1">
        <v>17</v>
      </c>
      <c r="C21" s="1" t="str">
        <f>IF(D21="","",_xlfn.XLOOKUP(D21,'Global ID'!$C$1:$C$2000,'Global ID'!$B$1:$B$2000,,0))</f>
        <v/>
      </c>
      <c r="D21" s="23"/>
      <c r="E21" s="2" t="str">
        <f>IF(NOT(_xlfn.ISFORMULA(C21)),"",IF(D21="","",IF(COUNTIF('Global ID'!$C:$C,D21)&gt;1,"사번확인요","")))</f>
        <v/>
      </c>
      <c r="F21" s="23"/>
      <c r="G21" s="25"/>
      <c r="H21" s="23"/>
      <c r="J21" s="15" t="s">
        <v>30</v>
      </c>
      <c r="K21" s="12">
        <f>SUM(L15:L18)*K4</f>
        <v>0</v>
      </c>
    </row>
    <row r="22" spans="2:18">
      <c r="B22" s="1">
        <v>18</v>
      </c>
      <c r="C22" s="1" t="str">
        <f>IF(D22="","",_xlfn.XLOOKUP(D22,'Global ID'!$C$1:$C$2000,'Global ID'!$B$1:$B$2000,,0))</f>
        <v/>
      </c>
      <c r="D22" s="23"/>
      <c r="E22" s="2" t="str">
        <f>IF(NOT(_xlfn.ISFORMULA(C22)),"",IF(D22="","",IF(COUNTIF('Global ID'!$C:$C,D22)&gt;1,"사번확인요","")))</f>
        <v/>
      </c>
      <c r="F22" s="23"/>
      <c r="G22" s="25"/>
      <c r="H22" s="23"/>
      <c r="J22" s="15" t="s">
        <v>31</v>
      </c>
      <c r="K22" s="17" t="str">
        <f>IF(ISERROR(K21/K6),"",K21/K6)</f>
        <v/>
      </c>
    </row>
    <row r="23" spans="2:18">
      <c r="B23" s="1">
        <v>19</v>
      </c>
      <c r="C23" s="1" t="str">
        <f>IF(D23="","",_xlfn.XLOOKUP(D23,'Global ID'!$C$1:$C$2000,'Global ID'!$B$1:$B$2000,,0))</f>
        <v/>
      </c>
      <c r="D23" s="23"/>
      <c r="E23" s="2" t="str">
        <f>IF(NOT(_xlfn.ISFORMULA(C23)),"",IF(D23="","",IF(COUNTIF('Global ID'!$C:$C,D23)&gt;1,"사번확인요","")))</f>
        <v/>
      </c>
      <c r="F23" s="23"/>
      <c r="G23" s="25"/>
      <c r="H23" s="23"/>
    </row>
    <row r="24" spans="2:18" ht="16.5" customHeight="1">
      <c r="B24" s="1">
        <v>20</v>
      </c>
      <c r="C24" s="1" t="str">
        <f>IF(D24="","",_xlfn.XLOOKUP(D24,'Global ID'!$C$1:$C$2000,'Global ID'!$B$1:$B$2000,,0))</f>
        <v/>
      </c>
      <c r="D24" s="23"/>
      <c r="E24" s="2" t="str">
        <f>IF(NOT(_xlfn.ISFORMULA(C24)),"",IF(D24="","",IF(COUNTIF('Global ID'!$C:$C,D24)&gt;1,"사번확인요","")))</f>
        <v/>
      </c>
      <c r="F24" s="23"/>
      <c r="G24" s="25"/>
      <c r="H24" s="23"/>
      <c r="J24" s="30" t="s">
        <v>27</v>
      </c>
      <c r="K24" s="31"/>
    </row>
    <row r="25" spans="2:18">
      <c r="B25" s="1">
        <v>21</v>
      </c>
      <c r="C25" s="1" t="str">
        <f>IF(D25="","",_xlfn.XLOOKUP(D25,'Global ID'!$C$1:$C$2000,'Global ID'!$B$1:$B$2000,,0))</f>
        <v/>
      </c>
      <c r="D25" s="23"/>
      <c r="E25" s="2" t="str">
        <f>IF(NOT(_xlfn.ISFORMULA(C25)),"",IF(D25="","",IF(COUNTIF('Global ID'!$C:$C,D25)&gt;1,"사번확인요","")))</f>
        <v/>
      </c>
      <c r="F25" s="23"/>
      <c r="G25" s="25"/>
      <c r="H25" s="23"/>
      <c r="J25" s="30" t="s">
        <v>28</v>
      </c>
      <c r="K25" s="17" t="str">
        <f>IF(K24="","",K24/K6)</f>
        <v/>
      </c>
      <c r="L25" s="32" t="str">
        <f>IF(K25="","",IF(K25&gt;=K22,"정산 문제 없음. 최소 자부담 비용보다 "&amp;TEXT(K24-K21,"#,#")&amp;"원 추가 부담함", "최소 자부담 비용 미달. "&amp;TEXT(K21-K24,"#,#")&amp;"원 추가 자부담 필요."))</f>
        <v/>
      </c>
    </row>
    <row r="26" spans="2:18">
      <c r="B26" s="1">
        <v>22</v>
      </c>
      <c r="C26" s="1" t="str">
        <f>IF(D26="","",_xlfn.XLOOKUP(D26,'Global ID'!$C$1:$C$2000,'Global ID'!$B$1:$B$2000,,0))</f>
        <v/>
      </c>
      <c r="D26" s="23"/>
      <c r="E26" s="2" t="str">
        <f>IF(NOT(_xlfn.ISFORMULA(C26)),"",IF(D26="","",IF(COUNTIF('Global ID'!$C:$C,D26)&gt;1,"사번확인요","")))</f>
        <v/>
      </c>
      <c r="K26" s="29"/>
      <c r="L26" s="29"/>
    </row>
    <row r="27" spans="2:18">
      <c r="B27" s="1">
        <v>23</v>
      </c>
      <c r="C27" s="1" t="str">
        <f>IF(D27="","",_xlfn.XLOOKUP(D27,'Global ID'!$C$1:$C$2000,'Global ID'!$B$1:$B$2000,,0))</f>
        <v/>
      </c>
      <c r="D27" s="23"/>
      <c r="E27" s="2" t="str">
        <f>IF(NOT(_xlfn.ISFORMULA(C27)),"",IF(D27="","",IF(COUNTIF('Global ID'!$C:$C,D27)&gt;1,"사번확인요","")))</f>
        <v/>
      </c>
      <c r="F27" s="47" t="s">
        <v>22</v>
      </c>
      <c r="G27" s="47"/>
      <c r="K27" s="29"/>
      <c r="L27" s="29"/>
    </row>
    <row r="28" spans="2:18">
      <c r="B28" s="1">
        <v>24</v>
      </c>
      <c r="C28" s="1" t="str">
        <f>IF(D28="","",_xlfn.XLOOKUP(D28,'Global ID'!$C$1:$C$2000,'Global ID'!$B$1:$B$2000,,0))</f>
        <v/>
      </c>
      <c r="D28" s="23"/>
      <c r="E28" s="2" t="str">
        <f>IF(NOT(_xlfn.ISFORMULA(C28)),"",IF(D28="","",IF(COUNTIF('Global ID'!$C:$C,D28)&gt;1,"사번확인요","")))</f>
        <v/>
      </c>
      <c r="F28" s="48" t="s">
        <v>21</v>
      </c>
      <c r="G28" s="48"/>
    </row>
    <row r="29" spans="2:18">
      <c r="B29" s="1">
        <v>25</v>
      </c>
      <c r="C29" s="1" t="str">
        <f>IF(D29="","",_xlfn.XLOOKUP(D29,'Global ID'!$C$1:$C$2000,'Global ID'!$B$1:$B$2000,,0))</f>
        <v/>
      </c>
      <c r="D29" s="23"/>
      <c r="E29" s="2" t="str">
        <f>IF(NOT(_xlfn.ISFORMULA(C29)),"",IF(D29="","",IF(COUNTIF('Global ID'!$C:$C,D29)&gt;1,"사번확인요","")))</f>
        <v/>
      </c>
      <c r="F29" s="22" t="s">
        <v>19</v>
      </c>
      <c r="G29" s="22" t="s">
        <v>20</v>
      </c>
    </row>
    <row r="30" spans="2:18">
      <c r="B30" s="1">
        <v>26</v>
      </c>
      <c r="C30" s="1" t="str">
        <f>IF(D30="","",_xlfn.XLOOKUP(D30,'Global ID'!$C$1:$C$2000,'Global ID'!$B$1:$B$2000,,0))</f>
        <v/>
      </c>
      <c r="D30" s="23"/>
      <c r="E30" s="2" t="str">
        <f>IF(NOT(_xlfn.ISFORMULA(C30)),"",IF(D30="","",IF(COUNTIF('Global ID'!$C:$C,D30)&gt;1,"사번확인요","")))</f>
        <v/>
      </c>
      <c r="F30" s="24"/>
      <c r="G30" s="25"/>
      <c r="J30" s="16" t="s">
        <v>18</v>
      </c>
      <c r="K30" s="12">
        <f>K6-K24</f>
        <v>0</v>
      </c>
    </row>
    <row r="31" spans="2:18">
      <c r="B31" s="1">
        <v>27</v>
      </c>
      <c r="C31" s="1" t="str">
        <f>IF(D31="","",_xlfn.XLOOKUP(D31,'Global ID'!$C$1:$C$2000,'Global ID'!$B$1:$B$2000,,0))</f>
        <v/>
      </c>
      <c r="D31" s="23"/>
      <c r="E31" s="2" t="str">
        <f>IF(NOT(_xlfn.ISFORMULA(C31)),"",IF(D31="","",IF(COUNTIF('Global ID'!$C:$C,D31)&gt;1,"사번확인요","")))</f>
        <v/>
      </c>
      <c r="F31" s="24"/>
      <c r="G31" s="25"/>
    </row>
    <row r="32" spans="2:18">
      <c r="B32" s="1">
        <v>28</v>
      </c>
      <c r="C32" s="1" t="str">
        <f>IF(D32="","",_xlfn.XLOOKUP(D32,'Global ID'!$C$1:$C$2000,'Global ID'!$B$1:$B$2000,,0))</f>
        <v/>
      </c>
      <c r="D32" s="23"/>
      <c r="E32" s="2" t="str">
        <f>IF(NOT(_xlfn.ISFORMULA(C32)),"",IF(D32="","",IF(COUNTIF('Global ID'!$C:$C,D32)&gt;1,"사번확인요","")))</f>
        <v/>
      </c>
      <c r="F32" s="24"/>
      <c r="G32" s="25"/>
    </row>
    <row r="33" spans="2:7">
      <c r="B33" s="1">
        <v>29</v>
      </c>
      <c r="C33" s="1" t="str">
        <f>IF(D33="","",_xlfn.XLOOKUP(D33,'Global ID'!$C$1:$C$2000,'Global ID'!$B$1:$B$2000,,0))</f>
        <v/>
      </c>
      <c r="D33" s="23"/>
      <c r="E33" s="2" t="str">
        <f>IF(NOT(_xlfn.ISFORMULA(C33)),"",IF(D33="","",IF(COUNTIF('Global ID'!$C:$C,D33)&gt;1,"사번확인요","")))</f>
        <v/>
      </c>
      <c r="F33" s="24"/>
      <c r="G33" s="25"/>
    </row>
    <row r="34" spans="2:7">
      <c r="B34" s="1">
        <v>30</v>
      </c>
      <c r="C34" s="1" t="str">
        <f>IF(D34="","",_xlfn.XLOOKUP(D34,'Global ID'!$C$1:$C$2000,'Global ID'!$B$1:$B$2000,,0))</f>
        <v/>
      </c>
      <c r="D34" s="23"/>
      <c r="E34" s="2" t="str">
        <f>IF(NOT(_xlfn.ISFORMULA(C34)),"",IF(D34="","",IF(COUNTIF('Global ID'!$C:$C,D34)&gt;1,"사번확인요","")))</f>
        <v/>
      </c>
      <c r="F34" s="24"/>
      <c r="G34" s="25"/>
    </row>
    <row r="35" spans="2:7">
      <c r="B35" s="1">
        <v>31</v>
      </c>
      <c r="C35" s="1" t="str">
        <f>IF(D35="","",_xlfn.XLOOKUP(D35,'Global ID'!$C$1:$C$2000,'Global ID'!$B$1:$B$2000,,0))</f>
        <v/>
      </c>
      <c r="D35" s="23"/>
      <c r="E35" s="2" t="str">
        <f>IF(NOT(_xlfn.ISFORMULA(C35)),"",IF(D35="","",IF(COUNTIF('Global ID'!$C:$C,D35)&gt;1,"사번확인요","")))</f>
        <v/>
      </c>
    </row>
    <row r="36" spans="2:7">
      <c r="B36" s="1">
        <v>32</v>
      </c>
      <c r="C36" s="1" t="str">
        <f>IF(D36="","",_xlfn.XLOOKUP(D36,'Global ID'!$C$1:$C$2000,'Global ID'!$B$1:$B$2000,,0))</f>
        <v/>
      </c>
      <c r="D36" s="23"/>
      <c r="E36" s="2" t="str">
        <f>IF(NOT(_xlfn.ISFORMULA(C36)),"",IF(D36="","",IF(COUNTIF('Global ID'!$C:$C,D36)&gt;1,"사번확인요","")))</f>
        <v/>
      </c>
    </row>
    <row r="37" spans="2:7">
      <c r="B37" s="1">
        <v>33</v>
      </c>
      <c r="C37" s="1" t="str">
        <f>IF(D37="","",_xlfn.XLOOKUP(D37,'Global ID'!$C$1:$C$2000,'Global ID'!$B$1:$B$2000,,0))</f>
        <v/>
      </c>
      <c r="D37" s="23"/>
      <c r="E37" s="2" t="str">
        <f>IF(NOT(_xlfn.ISFORMULA(C37)),"",IF(D37="","",IF(COUNTIF('Global ID'!$C:$C,D37)&gt;1,"사번확인요","")))</f>
        <v/>
      </c>
    </row>
    <row r="38" spans="2:7">
      <c r="B38" s="1">
        <v>34</v>
      </c>
      <c r="C38" s="1" t="str">
        <f>IF(D38="","",_xlfn.XLOOKUP(D38,'Global ID'!$C$1:$C$2000,'Global ID'!$B$1:$B$2000,,0))</f>
        <v/>
      </c>
      <c r="D38" s="23"/>
      <c r="E38" s="2" t="str">
        <f>IF(NOT(_xlfn.ISFORMULA(C38)),"",IF(D38="","",IF(COUNTIF('Global ID'!$C:$C,D38)&gt;1,"사번확인요","")))</f>
        <v/>
      </c>
    </row>
    <row r="39" spans="2:7">
      <c r="B39" s="1">
        <v>35</v>
      </c>
      <c r="C39" s="1" t="str">
        <f>IF(D39="","",_xlfn.XLOOKUP(D39,'Global ID'!$C$1:$C$2000,'Global ID'!$B$1:$B$2000,,0))</f>
        <v/>
      </c>
      <c r="D39" s="23"/>
      <c r="E39" s="2" t="str">
        <f>IF(NOT(_xlfn.ISFORMULA(C39)),"",IF(D39="","",IF(COUNTIF('Global ID'!$C:$C,D39)&gt;1,"사번확인요","")))</f>
        <v/>
      </c>
    </row>
    <row r="40" spans="2:7">
      <c r="B40" s="1">
        <v>36</v>
      </c>
      <c r="C40" s="1" t="str">
        <f>IF(D40="","",_xlfn.XLOOKUP(D40,'Global ID'!$C$1:$C$2000,'Global ID'!$B$1:$B$2000,,0))</f>
        <v/>
      </c>
      <c r="D40" s="23"/>
      <c r="E40" s="2" t="str">
        <f>IF(NOT(_xlfn.ISFORMULA(C40)),"",IF(D40="","",IF(COUNTIF('Global ID'!$C:$C,D40)&gt;1,"사번확인요","")))</f>
        <v/>
      </c>
    </row>
    <row r="41" spans="2:7">
      <c r="B41" s="1">
        <v>37</v>
      </c>
      <c r="C41" s="1" t="str">
        <f>IF(D41="","",_xlfn.XLOOKUP(D41,'Global ID'!$C$1:$C$2000,'Global ID'!$B$1:$B$2000,,0))</f>
        <v/>
      </c>
      <c r="D41" s="23"/>
      <c r="E41" s="2" t="str">
        <f>IF(NOT(_xlfn.ISFORMULA(C41)),"",IF(D41="","",IF(COUNTIF('Global ID'!$C:$C,D41)&gt;1,"사번확인요","")))</f>
        <v/>
      </c>
    </row>
    <row r="42" spans="2:7">
      <c r="B42" s="1">
        <v>38</v>
      </c>
      <c r="C42" s="1" t="str">
        <f>IF(D42="","",_xlfn.XLOOKUP(D42,'Global ID'!$C$1:$C$2000,'Global ID'!$B$1:$B$2000,,0))</f>
        <v/>
      </c>
      <c r="D42" s="23"/>
      <c r="E42" s="2" t="str">
        <f>IF(NOT(_xlfn.ISFORMULA(C42)),"",IF(D42="","",IF(COUNTIF('Global ID'!$C:$C,D42)&gt;1,"사번확인요","")))</f>
        <v/>
      </c>
    </row>
    <row r="43" spans="2:7">
      <c r="B43" s="1">
        <v>39</v>
      </c>
      <c r="C43" s="1" t="str">
        <f>IF(D43="","",_xlfn.XLOOKUP(D43,'Global ID'!$C$1:$C$2000,'Global ID'!$B$1:$B$2000,,0))</f>
        <v/>
      </c>
      <c r="D43" s="23"/>
      <c r="E43" s="2" t="str">
        <f>IF(NOT(_xlfn.ISFORMULA(C43)),"",IF(D43="","",IF(COUNTIF('Global ID'!$C:$C,D43)&gt;1,"사번확인요","")))</f>
        <v/>
      </c>
    </row>
    <row r="44" spans="2:7">
      <c r="B44" s="1">
        <v>40</v>
      </c>
      <c r="C44" s="1" t="str">
        <f>IF(D44="","",_xlfn.XLOOKUP(D44,'Global ID'!$C$1:$C$2000,'Global ID'!$B$1:$B$2000,,0))</f>
        <v/>
      </c>
      <c r="D44" s="23"/>
      <c r="E44" s="2" t="str">
        <f>IF(NOT(_xlfn.ISFORMULA(C44)),"",IF(D44="","",IF(COUNTIF('Global ID'!$C:$C,D44)&gt;1,"사번확인요","")))</f>
        <v/>
      </c>
    </row>
    <row r="45" spans="2:7">
      <c r="B45" s="1">
        <v>41</v>
      </c>
      <c r="C45" s="1" t="str">
        <f>IF(D45="","",_xlfn.XLOOKUP(D45,'Global ID'!$C$1:$C$2000,'Global ID'!$B$1:$B$2000,,0))</f>
        <v/>
      </c>
      <c r="D45" s="23"/>
      <c r="E45" s="2" t="str">
        <f>IF(NOT(_xlfn.ISFORMULA(C45)),"",IF(D45="","",IF(COUNTIF('Global ID'!$C:$C,D45)&gt;1,"사번확인요","")))</f>
        <v/>
      </c>
    </row>
    <row r="46" spans="2:7">
      <c r="B46" s="1">
        <v>42</v>
      </c>
      <c r="C46" s="1" t="str">
        <f>IF(D46="","",_xlfn.XLOOKUP(D46,'Global ID'!$C$1:$C$2000,'Global ID'!$B$1:$B$2000,,0))</f>
        <v/>
      </c>
      <c r="D46" s="23"/>
      <c r="E46" s="2" t="str">
        <f>IF(NOT(_xlfn.ISFORMULA(C46)),"",IF(D46="","",IF(COUNTIF('Global ID'!$C:$C,D46)&gt;1,"사번확인요","")))</f>
        <v/>
      </c>
    </row>
    <row r="47" spans="2:7">
      <c r="B47" s="1">
        <v>43</v>
      </c>
      <c r="C47" s="1" t="str">
        <f>IF(D47="","",_xlfn.XLOOKUP(D47,'Global ID'!$C$1:$C$2000,'Global ID'!$B$1:$B$2000,,0))</f>
        <v/>
      </c>
      <c r="D47" s="23"/>
      <c r="E47" s="2" t="str">
        <f>IF(NOT(_xlfn.ISFORMULA(C47)),"",IF(D47="","",IF(COUNTIF('Global ID'!$C:$C,D47)&gt;1,"사번확인요","")))</f>
        <v/>
      </c>
    </row>
    <row r="48" spans="2:7">
      <c r="B48" s="1">
        <v>44</v>
      </c>
      <c r="C48" s="1" t="str">
        <f>IF(D48="","",_xlfn.XLOOKUP(D48,'Global ID'!$C$1:$C$2000,'Global ID'!$B$1:$B$2000,,0))</f>
        <v/>
      </c>
      <c r="D48" s="23"/>
      <c r="E48" s="2" t="str">
        <f>IF(NOT(_xlfn.ISFORMULA(C48)),"",IF(D48="","",IF(COUNTIF('Global ID'!$C:$C,D48)&gt;1,"사번확인요","")))</f>
        <v/>
      </c>
    </row>
    <row r="49" spans="2:5">
      <c r="B49" s="1">
        <v>45</v>
      </c>
      <c r="C49" s="1" t="str">
        <f>IF(D49="","",_xlfn.XLOOKUP(D49,'Global ID'!$C$1:$C$2000,'Global ID'!$B$1:$B$2000,,0))</f>
        <v/>
      </c>
      <c r="D49" s="23"/>
      <c r="E49" s="2" t="str">
        <f>IF(NOT(_xlfn.ISFORMULA(C49)),"",IF(D49="","",IF(COUNTIF('Global ID'!$C:$C,D49)&gt;1,"사번확인요","")))</f>
        <v/>
      </c>
    </row>
    <row r="50" spans="2:5">
      <c r="B50" s="1">
        <v>46</v>
      </c>
      <c r="C50" s="1" t="str">
        <f>IF(D50="","",_xlfn.XLOOKUP(D50,'Global ID'!$C$1:$C$2000,'Global ID'!$B$1:$B$2000,,0))</f>
        <v/>
      </c>
      <c r="D50" s="23"/>
      <c r="E50" s="2" t="str">
        <f>IF(NOT(_xlfn.ISFORMULA(C50)),"",IF(D50="","",IF(COUNTIF('Global ID'!$C:$C,D50)&gt;1,"사번확인요","")))</f>
        <v/>
      </c>
    </row>
    <row r="51" spans="2:5">
      <c r="B51" s="1">
        <v>47</v>
      </c>
      <c r="C51" s="1" t="str">
        <f>IF(D51="","",_xlfn.XLOOKUP(D51,'Global ID'!$C$1:$C$2000,'Global ID'!$B$1:$B$2000,,0))</f>
        <v/>
      </c>
      <c r="D51" s="23"/>
      <c r="E51" s="2" t="str">
        <f>IF(NOT(_xlfn.ISFORMULA(C51)),"",IF(D51="","",IF(COUNTIF('Global ID'!$C:$C,D51)&gt;1,"사번확인요","")))</f>
        <v/>
      </c>
    </row>
    <row r="52" spans="2:5">
      <c r="B52" s="1">
        <v>48</v>
      </c>
      <c r="C52" s="1" t="str">
        <f>IF(D52="","",_xlfn.XLOOKUP(D52,'Global ID'!$C$1:$C$2000,'Global ID'!$B$1:$B$2000,,0))</f>
        <v/>
      </c>
      <c r="D52" s="23"/>
      <c r="E52" s="2" t="str">
        <f>IF(NOT(_xlfn.ISFORMULA(C52)),"",IF(D52="","",IF(COUNTIF('Global ID'!$C:$C,D52)&gt;1,"사번확인요","")))</f>
        <v/>
      </c>
    </row>
    <row r="53" spans="2:5">
      <c r="B53" s="1">
        <v>49</v>
      </c>
      <c r="C53" s="1" t="str">
        <f>IF(D53="","",_xlfn.XLOOKUP(D53,'Global ID'!$C$1:$C$2000,'Global ID'!$B$1:$B$2000,,0))</f>
        <v/>
      </c>
      <c r="D53" s="23"/>
      <c r="E53" s="2" t="str">
        <f>IF(NOT(_xlfn.ISFORMULA(C53)),"",IF(D53="","",IF(COUNTIF('Global ID'!$C:$C,D53)&gt;1,"사번확인요","")))</f>
        <v/>
      </c>
    </row>
    <row r="54" spans="2:5">
      <c r="B54" s="1">
        <v>50</v>
      </c>
      <c r="C54" s="1" t="str">
        <f>IF(D54="","",_xlfn.XLOOKUP(D54,'Global ID'!$C$1:$C$2000,'Global ID'!$B$1:$B$2000,,0))</f>
        <v/>
      </c>
      <c r="D54" s="23"/>
      <c r="E54" s="2" t="str">
        <f>IF(NOT(_xlfn.ISFORMULA(C54)),"",IF(D54="","",IF(COUNTIF('Global ID'!$C:$C,D54)&gt;1,"사번확인요","")))</f>
        <v/>
      </c>
    </row>
    <row r="55" spans="2:5">
      <c r="B55" s="1">
        <v>51</v>
      </c>
      <c r="C55" s="1" t="str">
        <f>IF(D55="","",_xlfn.XLOOKUP(D55,'Global ID'!$C$1:$C$2000,'Global ID'!$B$1:$B$2000,,0))</f>
        <v/>
      </c>
      <c r="D55" s="23"/>
      <c r="E55" s="2" t="str">
        <f>IF(NOT(_xlfn.ISFORMULA(C55)),"",IF(D55="","",IF(COUNTIF('Global ID'!$C:$C,D55)&gt;1,"사번확인요","")))</f>
        <v/>
      </c>
    </row>
    <row r="56" spans="2:5">
      <c r="B56" s="1">
        <v>52</v>
      </c>
      <c r="C56" s="1" t="str">
        <f>IF(D56="","",_xlfn.XLOOKUP(D56,'Global ID'!$C$1:$C$2000,'Global ID'!$B$1:$B$2000,,0))</f>
        <v/>
      </c>
      <c r="D56" s="23"/>
      <c r="E56" s="2" t="str">
        <f>IF(NOT(_xlfn.ISFORMULA(C56)),"",IF(D56="","",IF(COUNTIF('Global ID'!$C:$C,D56)&gt;1,"사번확인요","")))</f>
        <v/>
      </c>
    </row>
    <row r="57" spans="2:5">
      <c r="B57" s="1">
        <v>53</v>
      </c>
      <c r="C57" s="1" t="str">
        <f>IF(D57="","",_xlfn.XLOOKUP(D57,'Global ID'!$C$1:$C$2000,'Global ID'!$B$1:$B$2000,,0))</f>
        <v/>
      </c>
      <c r="D57" s="23"/>
      <c r="E57" s="2" t="str">
        <f>IF(NOT(_xlfn.ISFORMULA(C57)),"",IF(D57="","",IF(COUNTIF('Global ID'!$C:$C,D57)&gt;1,"사번확인요","")))</f>
        <v/>
      </c>
    </row>
    <row r="58" spans="2:5">
      <c r="B58" s="1">
        <v>54</v>
      </c>
      <c r="C58" s="1" t="str">
        <f>IF(D58="","",_xlfn.XLOOKUP(D58,'Global ID'!$C$1:$C$2000,'Global ID'!$B$1:$B$2000,,0))</f>
        <v/>
      </c>
      <c r="D58" s="23"/>
      <c r="E58" s="2" t="str">
        <f>IF(NOT(_xlfn.ISFORMULA(C58)),"",IF(D58="","",IF(COUNTIF('Global ID'!$C:$C,D58)&gt;1,"사번확인요","")))</f>
        <v/>
      </c>
    </row>
    <row r="59" spans="2:5">
      <c r="B59" s="1">
        <v>55</v>
      </c>
      <c r="C59" s="1" t="str">
        <f>IF(D59="","",_xlfn.XLOOKUP(D59,'Global ID'!$C$1:$C$2000,'Global ID'!$B$1:$B$2000,,0))</f>
        <v/>
      </c>
      <c r="D59" s="23"/>
      <c r="E59" s="2" t="str">
        <f>IF(NOT(_xlfn.ISFORMULA(C59)),"",IF(D59="","",IF(COUNTIF('Global ID'!$C:$C,D59)&gt;1,"사번확인요","")))</f>
        <v/>
      </c>
    </row>
    <row r="60" spans="2:5">
      <c r="B60" s="1">
        <v>56</v>
      </c>
      <c r="C60" s="1" t="str">
        <f>IF(D60="","",_xlfn.XLOOKUP(D60,'Global ID'!$C$1:$C$2000,'Global ID'!$B$1:$B$2000,,0))</f>
        <v/>
      </c>
      <c r="D60" s="23"/>
      <c r="E60" s="2" t="str">
        <f>IF(NOT(_xlfn.ISFORMULA(C60)),"",IF(D60="","",IF(COUNTIF('Global ID'!$C:$C,D60)&gt;1,"사번확인요","")))</f>
        <v/>
      </c>
    </row>
    <row r="61" spans="2:5">
      <c r="B61" s="1">
        <v>57</v>
      </c>
      <c r="C61" s="1" t="str">
        <f>IF(D61="","",_xlfn.XLOOKUP(D61,'Global ID'!$C$1:$C$2000,'Global ID'!$B$1:$B$2000,,0))</f>
        <v/>
      </c>
      <c r="D61" s="23"/>
      <c r="E61" s="2" t="str">
        <f>IF(NOT(_xlfn.ISFORMULA(C61)),"",IF(D61="","",IF(COUNTIF('Global ID'!$C:$C,D61)&gt;1,"사번확인요","")))</f>
        <v/>
      </c>
    </row>
    <row r="62" spans="2:5">
      <c r="B62" s="1">
        <v>58</v>
      </c>
      <c r="C62" s="1" t="str">
        <f>IF(D62="","",_xlfn.XLOOKUP(D62,'Global ID'!$C$1:$C$2000,'Global ID'!$B$1:$B$2000,,0))</f>
        <v/>
      </c>
      <c r="D62" s="23"/>
      <c r="E62" s="2" t="str">
        <f>IF(NOT(_xlfn.ISFORMULA(C62)),"",IF(D62="","",IF(COUNTIF('Global ID'!$C:$C,D62)&gt;1,"사번확인요","")))</f>
        <v/>
      </c>
    </row>
    <row r="63" spans="2:5">
      <c r="B63" s="1">
        <v>59</v>
      </c>
      <c r="C63" s="1" t="str">
        <f>IF(D63="","",_xlfn.XLOOKUP(D63,'Global ID'!$C$1:$C$2000,'Global ID'!$B$1:$B$2000,,0))</f>
        <v/>
      </c>
      <c r="D63" s="23"/>
      <c r="E63" s="2" t="str">
        <f>IF(NOT(_xlfn.ISFORMULA(C63)),"",IF(D63="","",IF(COUNTIF('Global ID'!$C:$C,D63)&gt;1,"사번확인요","")))</f>
        <v/>
      </c>
    </row>
    <row r="64" spans="2:5">
      <c r="B64" s="1">
        <v>60</v>
      </c>
      <c r="C64" s="1" t="str">
        <f>IF(D64="","",_xlfn.XLOOKUP(D64,'Global ID'!$C$1:$C$2000,'Global ID'!$B$1:$B$2000,,0))</f>
        <v/>
      </c>
      <c r="D64" s="23"/>
      <c r="E64" s="2" t="str">
        <f>IF(NOT(_xlfn.ISFORMULA(C64)),"",IF(D64="","",IF(COUNTIF('Global ID'!$C:$C,D64)&gt;1,"사번확인요","")))</f>
        <v/>
      </c>
    </row>
    <row r="65" spans="2:5">
      <c r="B65" s="1">
        <v>61</v>
      </c>
      <c r="C65" s="1" t="str">
        <f>IF(D65="","",_xlfn.XLOOKUP(D65,'Global ID'!$C$1:$C$2000,'Global ID'!$B$1:$B$2000,,0))</f>
        <v/>
      </c>
      <c r="D65" s="23"/>
      <c r="E65" s="2" t="str">
        <f>IF(NOT(_xlfn.ISFORMULA(C65)),"",IF(D65="","",IF(COUNTIF('Global ID'!$C:$C,D65)&gt;1,"사번확인요","")))</f>
        <v/>
      </c>
    </row>
    <row r="66" spans="2:5">
      <c r="B66" s="1">
        <v>62</v>
      </c>
      <c r="C66" s="1" t="str">
        <f>IF(D66="","",_xlfn.XLOOKUP(D66,'Global ID'!$C$1:$C$2000,'Global ID'!$B$1:$B$2000,,0))</f>
        <v/>
      </c>
      <c r="D66" s="23"/>
      <c r="E66" s="2" t="str">
        <f>IF(NOT(_xlfn.ISFORMULA(C66)),"",IF(D66="","",IF(COUNTIF('Global ID'!$C:$C,D66)&gt;1,"사번확인요","")))</f>
        <v/>
      </c>
    </row>
    <row r="67" spans="2:5">
      <c r="B67" s="1">
        <v>63</v>
      </c>
      <c r="C67" s="1" t="str">
        <f>IF(D67="","",_xlfn.XLOOKUP(D67,'Global ID'!$C$1:$C$2000,'Global ID'!$B$1:$B$2000,,0))</f>
        <v/>
      </c>
      <c r="D67" s="23"/>
      <c r="E67" s="2" t="str">
        <f>IF(NOT(_xlfn.ISFORMULA(C67)),"",IF(D67="","",IF(COUNTIF('Global ID'!$C:$C,D67)&gt;1,"사번확인요","")))</f>
        <v/>
      </c>
    </row>
    <row r="68" spans="2:5">
      <c r="B68" s="1">
        <v>64</v>
      </c>
      <c r="C68" s="1" t="str">
        <f>IF(D68="","",_xlfn.XLOOKUP(D68,'Global ID'!$C$1:$C$2000,'Global ID'!$B$1:$B$2000,,0))</f>
        <v/>
      </c>
      <c r="D68" s="23"/>
      <c r="E68" s="2" t="str">
        <f>IF(NOT(_xlfn.ISFORMULA(C68)),"",IF(D68="","",IF(COUNTIF('Global ID'!$C:$C,D68)&gt;1,"사번확인요","")))</f>
        <v/>
      </c>
    </row>
    <row r="69" spans="2:5">
      <c r="B69" s="1">
        <v>65</v>
      </c>
      <c r="C69" s="1" t="str">
        <f>IF(D69="","",_xlfn.XLOOKUP(D69,'Global ID'!$C$1:$C$2000,'Global ID'!$B$1:$B$2000,,0))</f>
        <v/>
      </c>
      <c r="D69" s="23"/>
      <c r="E69" s="2" t="str">
        <f>IF(NOT(_xlfn.ISFORMULA(C69)),"",IF(D69="","",IF(COUNTIF('Global ID'!$C:$C,D69)&gt;1,"사번확인요","")))</f>
        <v/>
      </c>
    </row>
    <row r="70" spans="2:5">
      <c r="B70" s="1">
        <v>66</v>
      </c>
      <c r="C70" s="1" t="str">
        <f>IF(D70="","",_xlfn.XLOOKUP(D70,'Global ID'!$C$1:$C$2000,'Global ID'!$B$1:$B$2000,,0))</f>
        <v/>
      </c>
      <c r="D70" s="23"/>
      <c r="E70" s="2" t="str">
        <f>IF(NOT(_xlfn.ISFORMULA(C70)),"",IF(D70="","",IF(COUNTIF('Global ID'!$C:$C,D70)&gt;1,"사번확인요","")))</f>
        <v/>
      </c>
    </row>
    <row r="71" spans="2:5">
      <c r="B71" s="1">
        <v>67</v>
      </c>
      <c r="C71" s="1" t="str">
        <f>IF(D71="","",_xlfn.XLOOKUP(D71,'Global ID'!$C$1:$C$2000,'Global ID'!$B$1:$B$2000,,0))</f>
        <v/>
      </c>
      <c r="D71" s="23"/>
      <c r="E71" s="2" t="str">
        <f>IF(NOT(_xlfn.ISFORMULA(C71)),"",IF(D71="","",IF(COUNTIF('Global ID'!$C:$C,D71)&gt;1,"사번확인요","")))</f>
        <v/>
      </c>
    </row>
    <row r="72" spans="2:5">
      <c r="B72" s="1">
        <v>68</v>
      </c>
      <c r="C72" s="1" t="str">
        <f>IF(D72="","",_xlfn.XLOOKUP(D72,'Global ID'!$C$1:$C$2000,'Global ID'!$B$1:$B$2000,,0))</f>
        <v/>
      </c>
      <c r="D72" s="23"/>
      <c r="E72" s="2" t="str">
        <f>IF(NOT(_xlfn.ISFORMULA(C72)),"",IF(D72="","",IF(COUNTIF('Global ID'!$C:$C,D72)&gt;1,"사번확인요","")))</f>
        <v/>
      </c>
    </row>
    <row r="73" spans="2:5">
      <c r="B73" s="1">
        <v>69</v>
      </c>
      <c r="C73" s="1" t="str">
        <f>IF(D73="","",_xlfn.XLOOKUP(D73,'Global ID'!$C$1:$C$2000,'Global ID'!$B$1:$B$2000,,0))</f>
        <v/>
      </c>
      <c r="D73" s="23"/>
      <c r="E73" s="2" t="str">
        <f>IF(NOT(_xlfn.ISFORMULA(C73)),"",IF(D73="","",IF(COUNTIF('Global ID'!$C:$C,D73)&gt;1,"사번확인요","")))</f>
        <v/>
      </c>
    </row>
    <row r="74" spans="2:5">
      <c r="B74" s="1">
        <v>70</v>
      </c>
      <c r="C74" s="1" t="str">
        <f>IF(D74="","",_xlfn.XLOOKUP(D74,'Global ID'!$C$1:$C$2000,'Global ID'!$B$1:$B$2000,,0))</f>
        <v/>
      </c>
      <c r="D74" s="23"/>
      <c r="E74" s="2" t="str">
        <f>IF(NOT(_xlfn.ISFORMULA(C74)),"",IF(D74="","",IF(COUNTIF('Global ID'!$C:$C,D74)&gt;1,"사번확인요","")))</f>
        <v/>
      </c>
    </row>
    <row r="75" spans="2:5">
      <c r="B75" s="1">
        <v>71</v>
      </c>
      <c r="C75" s="1" t="str">
        <f>IF(D75="","",_xlfn.XLOOKUP(D75,'Global ID'!$C$1:$C$2000,'Global ID'!$B$1:$B$2000,,0))</f>
        <v/>
      </c>
      <c r="D75" s="23"/>
      <c r="E75" s="2" t="str">
        <f>IF(NOT(_xlfn.ISFORMULA(C75)),"",IF(D75="","",IF(COUNTIF('Global ID'!$C:$C,D75)&gt;1,"사번확인요","")))</f>
        <v/>
      </c>
    </row>
    <row r="76" spans="2:5">
      <c r="B76" s="1">
        <v>72</v>
      </c>
      <c r="C76" s="1" t="str">
        <f>IF(D76="","",_xlfn.XLOOKUP(D76,'Global ID'!$C$1:$C$2000,'Global ID'!$B$1:$B$2000,,0))</f>
        <v/>
      </c>
      <c r="D76" s="23"/>
      <c r="E76" s="2" t="str">
        <f>IF(NOT(_xlfn.ISFORMULA(C76)),"",IF(D76="","",IF(COUNTIF('Global ID'!$C:$C,D76)&gt;1,"사번확인요","")))</f>
        <v/>
      </c>
    </row>
    <row r="77" spans="2:5">
      <c r="B77" s="1">
        <v>73</v>
      </c>
      <c r="C77" s="1" t="str">
        <f>IF(D77="","",_xlfn.XLOOKUP(D77,'Global ID'!$C$1:$C$2000,'Global ID'!$B$1:$B$2000,,0))</f>
        <v/>
      </c>
      <c r="D77" s="23"/>
      <c r="E77" s="2" t="str">
        <f>IF(NOT(_xlfn.ISFORMULA(C77)),"",IF(D77="","",IF(COUNTIF('Global ID'!$C:$C,D77)&gt;1,"사번확인요","")))</f>
        <v/>
      </c>
    </row>
    <row r="78" spans="2:5">
      <c r="B78" s="1">
        <v>74</v>
      </c>
      <c r="C78" s="1" t="str">
        <f>IF(D78="","",_xlfn.XLOOKUP(D78,'Global ID'!$C$1:$C$2000,'Global ID'!$B$1:$B$2000,,0))</f>
        <v/>
      </c>
      <c r="D78" s="23"/>
      <c r="E78" s="2" t="str">
        <f>IF(NOT(_xlfn.ISFORMULA(C78)),"",IF(D78="","",IF(COUNTIF('Global ID'!$C:$C,D78)&gt;1,"사번확인요","")))</f>
        <v/>
      </c>
    </row>
    <row r="79" spans="2:5">
      <c r="B79" s="1">
        <v>75</v>
      </c>
      <c r="C79" s="1" t="str">
        <f>IF(D79="","",_xlfn.XLOOKUP(D79,'Global ID'!$C$1:$C$2000,'Global ID'!$B$1:$B$2000,,0))</f>
        <v/>
      </c>
      <c r="D79" s="23"/>
      <c r="E79" s="2" t="str">
        <f>IF(NOT(_xlfn.ISFORMULA(C79)),"",IF(D79="","",IF(COUNTIF('Global ID'!$C:$C,D79)&gt;1,"사번확인요","")))</f>
        <v/>
      </c>
    </row>
    <row r="80" spans="2:5">
      <c r="B80" s="1">
        <v>76</v>
      </c>
      <c r="C80" s="1" t="str">
        <f>IF(D80="","",_xlfn.XLOOKUP(D80,'Global ID'!$C$1:$C$2000,'Global ID'!$B$1:$B$2000,,0))</f>
        <v/>
      </c>
      <c r="D80" s="23"/>
      <c r="E80" s="2" t="str">
        <f>IF(NOT(_xlfn.ISFORMULA(C80)),"",IF(D80="","",IF(COUNTIF('Global ID'!$C:$C,D80)&gt;1,"사번확인요","")))</f>
        <v/>
      </c>
    </row>
    <row r="81" spans="2:5">
      <c r="B81" s="1">
        <v>77</v>
      </c>
      <c r="C81" s="1" t="str">
        <f>IF(D81="","",_xlfn.XLOOKUP(D81,'Global ID'!$C$1:$C$2000,'Global ID'!$B$1:$B$2000,,0))</f>
        <v/>
      </c>
      <c r="D81" s="23"/>
      <c r="E81" s="2" t="str">
        <f>IF(NOT(_xlfn.ISFORMULA(C81)),"",IF(D81="","",IF(COUNTIF('Global ID'!$C:$C,D81)&gt;1,"사번확인요","")))</f>
        <v/>
      </c>
    </row>
    <row r="82" spans="2:5">
      <c r="B82" s="1">
        <v>78</v>
      </c>
      <c r="C82" s="1" t="str">
        <f>IF(D82="","",_xlfn.XLOOKUP(D82,'Global ID'!$C$1:$C$2000,'Global ID'!$B$1:$B$2000,,0))</f>
        <v/>
      </c>
      <c r="D82" s="23"/>
      <c r="E82" s="2" t="str">
        <f>IF(NOT(_xlfn.ISFORMULA(C82)),"",IF(D82="","",IF(COUNTIF('Global ID'!$C:$C,D82)&gt;1,"사번확인요","")))</f>
        <v/>
      </c>
    </row>
    <row r="83" spans="2:5">
      <c r="B83" s="1">
        <v>79</v>
      </c>
      <c r="C83" s="1" t="str">
        <f>IF(D83="","",_xlfn.XLOOKUP(D83,'Global ID'!$C$1:$C$2000,'Global ID'!$B$1:$B$2000,,0))</f>
        <v/>
      </c>
      <c r="D83" s="23"/>
      <c r="E83" s="2" t="str">
        <f>IF(NOT(_xlfn.ISFORMULA(C83)),"",IF(D83="","",IF(COUNTIF('Global ID'!$C:$C,D83)&gt;1,"사번확인요","")))</f>
        <v/>
      </c>
    </row>
    <row r="84" spans="2:5">
      <c r="B84" s="1">
        <v>80</v>
      </c>
      <c r="C84" s="1" t="str">
        <f>IF(D84="","",_xlfn.XLOOKUP(D84,'Global ID'!$C$1:$C$2000,'Global ID'!$B$1:$B$2000,,0))</f>
        <v/>
      </c>
      <c r="D84" s="23"/>
      <c r="E84" s="2" t="str">
        <f>IF(NOT(_xlfn.ISFORMULA(C84)),"",IF(D84="","",IF(COUNTIF('Global ID'!$C:$C,D84)&gt;1,"사번확인요","")))</f>
        <v/>
      </c>
    </row>
    <row r="85" spans="2:5">
      <c r="B85" s="1">
        <v>81</v>
      </c>
      <c r="C85" s="1" t="str">
        <f>IF(D85="","",_xlfn.XLOOKUP(D85,'Global ID'!$C$1:$C$2000,'Global ID'!$B$1:$B$2000,,0))</f>
        <v/>
      </c>
      <c r="D85" s="23"/>
      <c r="E85" s="2" t="str">
        <f>IF(NOT(_xlfn.ISFORMULA(C85)),"",IF(D85="","",IF(COUNTIF('Global ID'!$C:$C,D85)&gt;1,"사번확인요","")))</f>
        <v/>
      </c>
    </row>
    <row r="86" spans="2:5">
      <c r="B86" s="1">
        <v>82</v>
      </c>
      <c r="C86" s="1" t="str">
        <f>IF(D86="","",_xlfn.XLOOKUP(D86,'Global ID'!$C$1:$C$2000,'Global ID'!$B$1:$B$2000,,0))</f>
        <v/>
      </c>
      <c r="D86" s="23"/>
      <c r="E86" s="2" t="str">
        <f>IF(NOT(_xlfn.ISFORMULA(C86)),"",IF(D86="","",IF(COUNTIF('Global ID'!$C:$C,D86)&gt;1,"사번확인요","")))</f>
        <v/>
      </c>
    </row>
    <row r="87" spans="2:5">
      <c r="B87" s="1">
        <v>83</v>
      </c>
      <c r="C87" s="1" t="str">
        <f>IF(D87="","",_xlfn.XLOOKUP(D87,'Global ID'!$C$1:$C$2000,'Global ID'!$B$1:$B$2000,,0))</f>
        <v/>
      </c>
      <c r="D87" s="23"/>
      <c r="E87" s="2" t="str">
        <f>IF(NOT(_xlfn.ISFORMULA(C87)),"",IF(D87="","",IF(COUNTIF('Global ID'!$C:$C,D87)&gt;1,"사번확인요","")))</f>
        <v/>
      </c>
    </row>
    <row r="88" spans="2:5">
      <c r="B88" s="1">
        <v>84</v>
      </c>
      <c r="C88" s="1" t="str">
        <f>IF(D88="","",_xlfn.XLOOKUP(D88,'Global ID'!$C$1:$C$2000,'Global ID'!$B$1:$B$2000,,0))</f>
        <v/>
      </c>
      <c r="D88" s="23"/>
      <c r="E88" s="2" t="str">
        <f>IF(NOT(_xlfn.ISFORMULA(C88)),"",IF(D88="","",IF(COUNTIF('Global ID'!$C:$C,D88)&gt;1,"사번확인요","")))</f>
        <v/>
      </c>
    </row>
    <row r="89" spans="2:5">
      <c r="B89" s="1">
        <v>85</v>
      </c>
      <c r="C89" s="1" t="str">
        <f>IF(D89="","",_xlfn.XLOOKUP(D89,'Global ID'!$C$1:$C$2000,'Global ID'!$B$1:$B$2000,,0))</f>
        <v/>
      </c>
      <c r="D89" s="23"/>
      <c r="E89" s="2" t="str">
        <f>IF(NOT(_xlfn.ISFORMULA(C89)),"",IF(D89="","",IF(COUNTIF('Global ID'!$C:$C,D89)&gt;1,"사번확인요","")))</f>
        <v/>
      </c>
    </row>
    <row r="90" spans="2:5">
      <c r="B90" s="1">
        <v>86</v>
      </c>
      <c r="C90" s="1" t="str">
        <f>IF(D90="","",_xlfn.XLOOKUP(D90,'Global ID'!$C$1:$C$2000,'Global ID'!$B$1:$B$2000,,0))</f>
        <v/>
      </c>
      <c r="D90" s="23"/>
      <c r="E90" s="2" t="str">
        <f>IF(NOT(_xlfn.ISFORMULA(C90)),"",IF(D90="","",IF(COUNTIF('Global ID'!$C:$C,D90)&gt;1,"사번확인요","")))</f>
        <v/>
      </c>
    </row>
    <row r="91" spans="2:5">
      <c r="B91" s="1">
        <v>87</v>
      </c>
      <c r="C91" s="1" t="str">
        <f>IF(D91="","",_xlfn.XLOOKUP(D91,'Global ID'!$C$1:$C$2000,'Global ID'!$B$1:$B$2000,,0))</f>
        <v/>
      </c>
      <c r="D91" s="23"/>
      <c r="E91" s="2" t="str">
        <f>IF(NOT(_xlfn.ISFORMULA(C91)),"",IF(D91="","",IF(COUNTIF('Global ID'!$C:$C,D91)&gt;1,"사번확인요","")))</f>
        <v/>
      </c>
    </row>
    <row r="92" spans="2:5">
      <c r="B92" s="1">
        <v>88</v>
      </c>
      <c r="C92" s="1" t="str">
        <f>IF(D92="","",_xlfn.XLOOKUP(D92,'Global ID'!$C$1:$C$2000,'Global ID'!$B$1:$B$2000,,0))</f>
        <v/>
      </c>
      <c r="D92" s="23"/>
      <c r="E92" s="2" t="str">
        <f>IF(NOT(_xlfn.ISFORMULA(C92)),"",IF(D92="","",IF(COUNTIF('Global ID'!$C:$C,D92)&gt;1,"사번확인요","")))</f>
        <v/>
      </c>
    </row>
    <row r="93" spans="2:5">
      <c r="B93" s="1">
        <v>89</v>
      </c>
      <c r="C93" s="1" t="str">
        <f>IF(D93="","",_xlfn.XLOOKUP(D93,'Global ID'!$C$1:$C$2000,'Global ID'!$B$1:$B$2000,,0))</f>
        <v/>
      </c>
      <c r="D93" s="23"/>
      <c r="E93" s="2" t="str">
        <f>IF(NOT(_xlfn.ISFORMULA(C93)),"",IF(D93="","",IF(COUNTIF('Global ID'!$C:$C,D93)&gt;1,"사번확인요","")))</f>
        <v/>
      </c>
    </row>
    <row r="94" spans="2:5">
      <c r="B94" s="1">
        <v>90</v>
      </c>
      <c r="C94" s="1" t="str">
        <f>IF(D94="","",_xlfn.XLOOKUP(D94,'Global ID'!$C$1:$C$2000,'Global ID'!$B$1:$B$2000,,0))</f>
        <v/>
      </c>
      <c r="D94" s="23"/>
      <c r="E94" s="2" t="str">
        <f>IF(NOT(_xlfn.ISFORMULA(C94)),"",IF(D94="","",IF(COUNTIF('Global ID'!$C:$C,D94)&gt;1,"사번확인요","")))</f>
        <v/>
      </c>
    </row>
    <row r="95" spans="2:5">
      <c r="B95" s="1">
        <v>91</v>
      </c>
      <c r="C95" s="1" t="str">
        <f>IF(D95="","",_xlfn.XLOOKUP(D95,'Global ID'!$C$1:$C$2000,'Global ID'!$B$1:$B$2000,,0))</f>
        <v/>
      </c>
      <c r="D95" s="23"/>
      <c r="E95" s="2" t="str">
        <f>IF(NOT(_xlfn.ISFORMULA(C95)),"",IF(D95="","",IF(COUNTIF('Global ID'!$C:$C,D95)&gt;1,"사번확인요","")))</f>
        <v/>
      </c>
    </row>
    <row r="96" spans="2:5">
      <c r="B96" s="1">
        <v>92</v>
      </c>
      <c r="C96" s="1" t="str">
        <f>IF(D96="","",_xlfn.XLOOKUP(D96,'Global ID'!$C$1:$C$2000,'Global ID'!$B$1:$B$2000,,0))</f>
        <v/>
      </c>
      <c r="D96" s="23"/>
      <c r="E96" s="2" t="str">
        <f>IF(NOT(_xlfn.ISFORMULA(C96)),"",IF(D96="","",IF(COUNTIF('Global ID'!$C:$C,D96)&gt;1,"사번확인요","")))</f>
        <v/>
      </c>
    </row>
    <row r="97" spans="2:5">
      <c r="B97" s="1">
        <v>93</v>
      </c>
      <c r="C97" s="1" t="str">
        <f>IF(D97="","",_xlfn.XLOOKUP(D97,'Global ID'!$C$1:$C$2000,'Global ID'!$B$1:$B$2000,,0))</f>
        <v/>
      </c>
      <c r="D97" s="23"/>
      <c r="E97" s="2" t="str">
        <f>IF(NOT(_xlfn.ISFORMULA(C97)),"",IF(D97="","",IF(COUNTIF('Global ID'!$C:$C,D97)&gt;1,"사번확인요","")))</f>
        <v/>
      </c>
    </row>
    <row r="98" spans="2:5">
      <c r="B98" s="1">
        <v>94</v>
      </c>
      <c r="C98" s="1" t="str">
        <f>IF(D98="","",_xlfn.XLOOKUP(D98,'Global ID'!$C$1:$C$2000,'Global ID'!$B$1:$B$2000,,0))</f>
        <v/>
      </c>
      <c r="D98" s="23"/>
      <c r="E98" s="2" t="str">
        <f>IF(NOT(_xlfn.ISFORMULA(C98)),"",IF(D98="","",IF(COUNTIF('Global ID'!$C:$C,D98)&gt;1,"사번확인요","")))</f>
        <v/>
      </c>
    </row>
    <row r="99" spans="2:5">
      <c r="B99" s="1">
        <v>95</v>
      </c>
      <c r="C99" s="1" t="str">
        <f>IF(D99="","",_xlfn.XLOOKUP(D99,'Global ID'!$C$1:$C$2000,'Global ID'!$B$1:$B$2000,,0))</f>
        <v/>
      </c>
      <c r="D99" s="23"/>
      <c r="E99" s="2" t="str">
        <f>IF(NOT(_xlfn.ISFORMULA(C99)),"",IF(D99="","",IF(COUNTIF('Global ID'!$C:$C,D99)&gt;1,"사번확인요","")))</f>
        <v/>
      </c>
    </row>
    <row r="100" spans="2:5">
      <c r="B100" s="1">
        <v>96</v>
      </c>
      <c r="C100" s="1" t="str">
        <f>IF(D100="","",_xlfn.XLOOKUP(D100,'Global ID'!$C$1:$C$2000,'Global ID'!$B$1:$B$2000,,0))</f>
        <v/>
      </c>
      <c r="D100" s="23"/>
      <c r="E100" s="2" t="str">
        <f>IF(NOT(_xlfn.ISFORMULA(C100)),"",IF(D100="","",IF(COUNTIF('Global ID'!$C:$C,D100)&gt;1,"사번확인요","")))</f>
        <v/>
      </c>
    </row>
    <row r="101" spans="2:5">
      <c r="B101" s="1">
        <v>97</v>
      </c>
      <c r="C101" s="1" t="str">
        <f>IF(D101="","",_xlfn.XLOOKUP(D101,'Global ID'!$C$1:$C$2000,'Global ID'!$B$1:$B$2000,,0))</f>
        <v/>
      </c>
      <c r="D101" s="23"/>
      <c r="E101" s="2" t="str">
        <f>IF(NOT(_xlfn.ISFORMULA(C101)),"",IF(D101="","",IF(COUNTIF('Global ID'!$C:$C,D101)&gt;1,"사번확인요","")))</f>
        <v/>
      </c>
    </row>
    <row r="102" spans="2:5">
      <c r="B102" s="1">
        <v>98</v>
      </c>
      <c r="C102" s="1" t="str">
        <f>IF(D102="","",_xlfn.XLOOKUP(D102,'Global ID'!$C$1:$C$2000,'Global ID'!$B$1:$B$2000,,0))</f>
        <v/>
      </c>
      <c r="D102" s="23"/>
      <c r="E102" s="2" t="str">
        <f>IF(NOT(_xlfn.ISFORMULA(C102)),"",IF(D102="","",IF(COUNTIF('Global ID'!$C:$C,D102)&gt;1,"사번확인요","")))</f>
        <v/>
      </c>
    </row>
    <row r="103" spans="2:5">
      <c r="B103" s="1">
        <v>99</v>
      </c>
      <c r="C103" s="1" t="str">
        <f>IF(D103="","",_xlfn.XLOOKUP(D103,'Global ID'!$C$1:$C$2000,'Global ID'!$B$1:$B$2000,,0))</f>
        <v/>
      </c>
      <c r="D103" s="23"/>
      <c r="E103" s="2" t="str">
        <f>IF(NOT(_xlfn.ISFORMULA(C103)),"",IF(D103="","",IF(COUNTIF('Global ID'!$C:$C,D103)&gt;1,"사번확인요","")))</f>
        <v/>
      </c>
    </row>
    <row r="104" spans="2:5">
      <c r="B104" s="1">
        <v>100</v>
      </c>
      <c r="C104" s="1" t="str">
        <f>IF(D104="","",_xlfn.XLOOKUP(D104,'Global ID'!$C$1:$C$2000,'Global ID'!$B$1:$B$2000,,0))</f>
        <v/>
      </c>
      <c r="D104" s="23"/>
      <c r="E104" s="2" t="str">
        <f>IF(NOT(_xlfn.ISFORMULA(C104)),"",IF(D104="","",IF(COUNTIF('Global ID'!$C:$C,D104)&gt;1,"사번확인요","")))</f>
        <v/>
      </c>
    </row>
    <row r="105" spans="2:5">
      <c r="B105" s="1">
        <v>101</v>
      </c>
      <c r="C105" s="1" t="str">
        <f>IF(D105="","",_xlfn.XLOOKUP(D105,'Global ID'!$C$1:$C$2000,'Global ID'!$B$1:$B$2000,,0))</f>
        <v/>
      </c>
      <c r="D105" s="23"/>
      <c r="E105" s="2" t="str">
        <f>IF(NOT(_xlfn.ISFORMULA(C105)),"",IF(D105="","",IF(COUNTIF('Global ID'!$C:$C,D105)&gt;1,"사번확인요","")))</f>
        <v/>
      </c>
    </row>
    <row r="106" spans="2:5">
      <c r="B106" s="1">
        <v>102</v>
      </c>
      <c r="C106" s="1" t="str">
        <f>IF(D106="","",_xlfn.XLOOKUP(D106,'Global ID'!$C$1:$C$2000,'Global ID'!$B$1:$B$2000,,0))</f>
        <v/>
      </c>
      <c r="D106" s="23"/>
      <c r="E106" s="2" t="str">
        <f>IF(NOT(_xlfn.ISFORMULA(C106)),"",IF(D106="","",IF(COUNTIF('Global ID'!$C:$C,D106)&gt;1,"사번확인요","")))</f>
        <v/>
      </c>
    </row>
    <row r="107" spans="2:5">
      <c r="B107" s="1">
        <v>103</v>
      </c>
      <c r="C107" s="1" t="str">
        <f>IF(D107="","",_xlfn.XLOOKUP(D107,'Global ID'!$C$1:$C$2000,'Global ID'!$B$1:$B$2000,,0))</f>
        <v/>
      </c>
      <c r="D107" s="23"/>
      <c r="E107" s="2" t="str">
        <f>IF(NOT(_xlfn.ISFORMULA(C107)),"",IF(D107="","",IF(COUNTIF('Global ID'!$C:$C,D107)&gt;1,"사번확인요","")))</f>
        <v/>
      </c>
    </row>
    <row r="108" spans="2:5">
      <c r="B108" s="1">
        <v>104</v>
      </c>
      <c r="C108" s="1" t="str">
        <f>IF(D108="","",_xlfn.XLOOKUP(D108,'Global ID'!$C$1:$C$2000,'Global ID'!$B$1:$B$2000,,0))</f>
        <v/>
      </c>
      <c r="D108" s="23"/>
      <c r="E108" s="2" t="str">
        <f>IF(NOT(_xlfn.ISFORMULA(C108)),"",IF(D108="","",IF(COUNTIF('Global ID'!$C:$C,D108)&gt;1,"사번확인요","")))</f>
        <v/>
      </c>
    </row>
    <row r="109" spans="2:5">
      <c r="B109" s="1">
        <v>105</v>
      </c>
      <c r="C109" s="1" t="str">
        <f>IF(D109="","",_xlfn.XLOOKUP(D109,'Global ID'!$C$1:$C$2000,'Global ID'!$B$1:$B$2000,,0))</f>
        <v/>
      </c>
      <c r="D109" s="23"/>
      <c r="E109" s="2" t="str">
        <f>IF(NOT(_xlfn.ISFORMULA(C109)),"",IF(D109="","",IF(COUNTIF('Global ID'!$C:$C,D109)&gt;1,"사번확인요","")))</f>
        <v/>
      </c>
    </row>
    <row r="110" spans="2:5">
      <c r="B110" s="1">
        <v>106</v>
      </c>
      <c r="C110" s="1" t="str">
        <f>IF(D110="","",_xlfn.XLOOKUP(D110,'Global ID'!$C$1:$C$2000,'Global ID'!$B$1:$B$2000,,0))</f>
        <v/>
      </c>
      <c r="D110" s="23"/>
      <c r="E110" s="2" t="str">
        <f>IF(NOT(_xlfn.ISFORMULA(C110)),"",IF(D110="","",IF(COUNTIF('Global ID'!$C:$C,D110)&gt;1,"사번확인요","")))</f>
        <v/>
      </c>
    </row>
    <row r="111" spans="2:5">
      <c r="B111" s="1">
        <v>107</v>
      </c>
      <c r="C111" s="1" t="str">
        <f>IF(D111="","",_xlfn.XLOOKUP(D111,'Global ID'!$C$1:$C$2000,'Global ID'!$B$1:$B$2000,,0))</f>
        <v/>
      </c>
      <c r="D111" s="23"/>
      <c r="E111" s="2" t="str">
        <f>IF(NOT(_xlfn.ISFORMULA(C111)),"",IF(D111="","",IF(COUNTIF('Global ID'!$C:$C,D111)&gt;1,"사번확인요","")))</f>
        <v/>
      </c>
    </row>
    <row r="112" spans="2:5">
      <c r="B112" s="1">
        <v>108</v>
      </c>
      <c r="C112" s="1" t="str">
        <f>IF(D112="","",_xlfn.XLOOKUP(D112,'Global ID'!$C$1:$C$2000,'Global ID'!$B$1:$B$2000,,0))</f>
        <v/>
      </c>
      <c r="D112" s="23"/>
      <c r="E112" s="2" t="str">
        <f>IF(NOT(_xlfn.ISFORMULA(C112)),"",IF(D112="","",IF(COUNTIF('Global ID'!$C:$C,D112)&gt;1,"사번확인요","")))</f>
        <v/>
      </c>
    </row>
    <row r="113" spans="2:5">
      <c r="B113" s="1">
        <v>109</v>
      </c>
      <c r="C113" s="1" t="str">
        <f>IF(D113="","",_xlfn.XLOOKUP(D113,'Global ID'!$C$1:$C$2000,'Global ID'!$B$1:$B$2000,,0))</f>
        <v/>
      </c>
      <c r="D113" s="23"/>
      <c r="E113" s="2" t="str">
        <f>IF(NOT(_xlfn.ISFORMULA(C113)),"",IF(D113="","",IF(COUNTIF('Global ID'!$C:$C,D113)&gt;1,"사번확인요","")))</f>
        <v/>
      </c>
    </row>
    <row r="114" spans="2:5">
      <c r="B114" s="1">
        <v>110</v>
      </c>
      <c r="C114" s="1" t="str">
        <f>IF(D114="","",_xlfn.XLOOKUP(D114,'Global ID'!$C$1:$C$2000,'Global ID'!$B$1:$B$2000,,0))</f>
        <v/>
      </c>
      <c r="D114" s="23"/>
      <c r="E114" s="2" t="str">
        <f>IF(NOT(_xlfn.ISFORMULA(C114)),"",IF(D114="","",IF(COUNTIF('Global ID'!$C:$C,D114)&gt;1,"사번확인요","")))</f>
        <v/>
      </c>
    </row>
    <row r="115" spans="2:5">
      <c r="B115" s="1">
        <v>111</v>
      </c>
      <c r="C115" s="1" t="str">
        <f>IF(D115="","",_xlfn.XLOOKUP(D115,'Global ID'!$C$1:$C$2000,'Global ID'!$B$1:$B$2000,,0))</f>
        <v/>
      </c>
      <c r="D115" s="23"/>
      <c r="E115" s="2" t="str">
        <f>IF(NOT(_xlfn.ISFORMULA(C115)),"",IF(D115="","",IF(COUNTIF('Global ID'!$C:$C,D115)&gt;1,"사번확인요","")))</f>
        <v/>
      </c>
    </row>
    <row r="116" spans="2:5">
      <c r="B116" s="1">
        <v>112</v>
      </c>
      <c r="C116" s="1" t="str">
        <f>IF(D116="","",_xlfn.XLOOKUP(D116,'Global ID'!$C$1:$C$2000,'Global ID'!$B$1:$B$2000,,0))</f>
        <v/>
      </c>
      <c r="D116" s="23"/>
      <c r="E116" s="2" t="str">
        <f>IF(NOT(_xlfn.ISFORMULA(C116)),"",IF(D116="","",IF(COUNTIF('Global ID'!$C:$C,D116)&gt;1,"사번확인요","")))</f>
        <v/>
      </c>
    </row>
    <row r="117" spans="2:5">
      <c r="B117" s="1">
        <v>113</v>
      </c>
      <c r="C117" s="1" t="str">
        <f>IF(D117="","",_xlfn.XLOOKUP(D117,'Global ID'!$C$1:$C$2000,'Global ID'!$B$1:$B$2000,,0))</f>
        <v/>
      </c>
      <c r="D117" s="23"/>
      <c r="E117" s="2" t="str">
        <f>IF(NOT(_xlfn.ISFORMULA(C117)),"",IF(D117="","",IF(COUNTIF('Global ID'!$C:$C,D117)&gt;1,"사번확인요","")))</f>
        <v/>
      </c>
    </row>
    <row r="118" spans="2:5">
      <c r="B118" s="1">
        <v>114</v>
      </c>
      <c r="C118" s="1" t="str">
        <f>IF(D118="","",_xlfn.XLOOKUP(D118,'Global ID'!$C$1:$C$2000,'Global ID'!$B$1:$B$2000,,0))</f>
        <v/>
      </c>
      <c r="D118" s="23"/>
      <c r="E118" s="2" t="str">
        <f>IF(NOT(_xlfn.ISFORMULA(C118)),"",IF(D118="","",IF(COUNTIF('Global ID'!$C:$C,D118)&gt;1,"사번확인요","")))</f>
        <v/>
      </c>
    </row>
    <row r="119" spans="2:5">
      <c r="B119" s="1">
        <v>115</v>
      </c>
      <c r="C119" s="1" t="str">
        <f>IF(D119="","",_xlfn.XLOOKUP(D119,'Global ID'!$C$1:$C$2000,'Global ID'!$B$1:$B$2000,,0))</f>
        <v/>
      </c>
      <c r="D119" s="23"/>
      <c r="E119" s="2" t="str">
        <f>IF(NOT(_xlfn.ISFORMULA(C119)),"",IF(D119="","",IF(COUNTIF('Global ID'!$C:$C,D119)&gt;1,"사번확인요","")))</f>
        <v/>
      </c>
    </row>
    <row r="120" spans="2:5">
      <c r="B120" s="1">
        <v>116</v>
      </c>
      <c r="C120" s="1" t="str">
        <f>IF(D120="","",_xlfn.XLOOKUP(D120,'Global ID'!$C$1:$C$2000,'Global ID'!$B$1:$B$2000,,0))</f>
        <v/>
      </c>
      <c r="D120" s="23"/>
      <c r="E120" s="2" t="str">
        <f>IF(NOT(_xlfn.ISFORMULA(C120)),"",IF(D120="","",IF(COUNTIF('Global ID'!$C:$C,D120)&gt;1,"사번확인요","")))</f>
        <v/>
      </c>
    </row>
    <row r="121" spans="2:5">
      <c r="B121" s="1">
        <v>117</v>
      </c>
      <c r="C121" s="1" t="str">
        <f>IF(D121="","",_xlfn.XLOOKUP(D121,'Global ID'!$C$1:$C$2000,'Global ID'!$B$1:$B$2000,,0))</f>
        <v/>
      </c>
      <c r="D121" s="23"/>
      <c r="E121" s="2" t="str">
        <f>IF(NOT(_xlfn.ISFORMULA(C121)),"",IF(D121="","",IF(COUNTIF('Global ID'!$C:$C,D121)&gt;1,"사번확인요","")))</f>
        <v/>
      </c>
    </row>
    <row r="122" spans="2:5">
      <c r="B122" s="1">
        <v>118</v>
      </c>
      <c r="C122" s="1" t="str">
        <f>IF(D122="","",_xlfn.XLOOKUP(D122,'Global ID'!$C$1:$C$2000,'Global ID'!$B$1:$B$2000,,0))</f>
        <v/>
      </c>
      <c r="D122" s="23"/>
      <c r="E122" s="2" t="str">
        <f>IF(NOT(_xlfn.ISFORMULA(C122)),"",IF(D122="","",IF(COUNTIF('Global ID'!$C:$C,D122)&gt;1,"사번확인요","")))</f>
        <v/>
      </c>
    </row>
    <row r="123" spans="2:5">
      <c r="B123" s="1">
        <v>119</v>
      </c>
      <c r="C123" s="1" t="str">
        <f>IF(D123="","",_xlfn.XLOOKUP(D123,'Global ID'!$C$1:$C$2000,'Global ID'!$B$1:$B$2000,,0))</f>
        <v/>
      </c>
      <c r="D123" s="23"/>
      <c r="E123" s="2" t="str">
        <f>IF(NOT(_xlfn.ISFORMULA(C123)),"",IF(D123="","",IF(COUNTIF('Global ID'!$C:$C,D123)&gt;1,"사번확인요","")))</f>
        <v/>
      </c>
    </row>
    <row r="124" spans="2:5">
      <c r="B124" s="1">
        <v>120</v>
      </c>
      <c r="C124" s="1" t="str">
        <f>IF(D124="","",_xlfn.XLOOKUP(D124,'Global ID'!$C$1:$C$2000,'Global ID'!$B$1:$B$2000,,0))</f>
        <v/>
      </c>
      <c r="D124" s="23"/>
      <c r="E124" s="2" t="str">
        <f>IF(NOT(_xlfn.ISFORMULA(C124)),"",IF(D124="","",IF(COUNTIF('Global ID'!$C:$C,D124)&gt;1,"사번확인요","")))</f>
        <v/>
      </c>
    </row>
  </sheetData>
  <mergeCells count="4">
    <mergeCell ref="F27:G27"/>
    <mergeCell ref="F28:G28"/>
    <mergeCell ref="B2:C2"/>
    <mergeCell ref="L9:M10"/>
  </mergeCells>
  <phoneticPr fontId="2" type="noConversion"/>
  <conditionalFormatting sqref="C5:C124">
    <cfRule type="expression" dxfId="2" priority="1" stopIfTrue="1">
      <formula>NOT(_xlfn.ISFORMULA(C5))</formula>
    </cfRule>
  </conditionalFormatting>
  <conditionalFormatting sqref="K30">
    <cfRule type="expression" dxfId="0" priority="3">
      <formula>$K$8&gt;1000000</formula>
    </cfRule>
  </conditionalFormatting>
  <dataValidations count="1">
    <dataValidation type="list" allowBlank="1" showInputMessage="1" showErrorMessage="1" sqref="H5:H25" xr:uid="{19F53D3B-5BDF-4504-9D98-E06D4127F7EA}">
      <formula1>"행사비, 시설 및 장비 이용료, 상품"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EB6ABE0D-7FC4-43A3-8874-983E7D945964}">
            <xm:f>COUNTIF('Global ID'!$C1:$C2000,D5)&gt;1</xm:f>
            <x14:dxf>
              <fill>
                <patternFill>
                  <bgColor rgb="FFFFFF00"/>
                </patternFill>
              </fill>
            </x14:dxf>
          </x14:cfRule>
          <xm:sqref>C5:C124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852EF-3ED5-4A4F-87BC-582A2D5866B8}">
  <dimension ref="A1:E13"/>
  <sheetViews>
    <sheetView showGridLines="0" workbookViewId="0">
      <selection activeCell="T20" sqref="T20"/>
    </sheetView>
  </sheetViews>
  <sheetFormatPr defaultColWidth="9" defaultRowHeight="13"/>
  <cols>
    <col min="1" max="16384" width="9" style="27"/>
  </cols>
  <sheetData>
    <row r="1" spans="1:5" ht="18.5">
      <c r="A1" s="28" t="s">
        <v>25</v>
      </c>
    </row>
    <row r="3" spans="1:5" ht="13.5">
      <c r="A3"/>
    </row>
    <row r="6" spans="1:5" ht="13.5">
      <c r="D6"/>
    </row>
    <row r="13" spans="1:5" ht="13.5">
      <c r="E1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3447-D6A8-4128-976A-83F700697131}">
  <dimension ref="A1:Q8"/>
  <sheetViews>
    <sheetView showGridLines="0" workbookViewId="0">
      <selection activeCell="G18" sqref="G18"/>
    </sheetView>
  </sheetViews>
  <sheetFormatPr defaultRowHeight="13.5"/>
  <cols>
    <col min="2" max="2" width="30.58203125" style="52" customWidth="1"/>
    <col min="3" max="3" width="4.75" style="52" customWidth="1"/>
    <col min="4" max="4" width="30.58203125" style="52" customWidth="1"/>
    <col min="5" max="10" width="8.6640625" style="52"/>
  </cols>
  <sheetData>
    <row r="1" spans="1:17" ht="18.5">
      <c r="A1" s="28" t="s">
        <v>26</v>
      </c>
    </row>
    <row r="4" spans="1:17" ht="16">
      <c r="B4" s="53" t="s">
        <v>2628</v>
      </c>
      <c r="D4" s="53" t="s">
        <v>2629</v>
      </c>
      <c r="Q4" s="46"/>
    </row>
    <row r="8" spans="1:17" ht="17">
      <c r="D8" s="4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A37EE-85AA-4F42-9F28-4D685E673BE3}">
  <dimension ref="A1:D1316"/>
  <sheetViews>
    <sheetView workbookViewId="0">
      <pane ySplit="1" topLeftCell="A1085" activePane="bottomLeft" state="frozen"/>
      <selection pane="bottomLeft" activeCell="C1099" sqref="C1099"/>
    </sheetView>
  </sheetViews>
  <sheetFormatPr defaultColWidth="9" defaultRowHeight="14.5"/>
  <cols>
    <col min="1" max="1" width="12" style="44" customWidth="1"/>
    <col min="2" max="2" width="16.08203125" style="44" customWidth="1"/>
    <col min="3" max="3" width="11.75" style="44" customWidth="1"/>
    <col min="4" max="4" width="10.08203125" style="41" bestFit="1" customWidth="1"/>
    <col min="5" max="16384" width="9" style="41"/>
  </cols>
  <sheetData>
    <row r="1" spans="1:4" ht="16">
      <c r="A1" s="39" t="s">
        <v>37</v>
      </c>
      <c r="B1" s="40" t="s">
        <v>38</v>
      </c>
      <c r="C1" s="40" t="s">
        <v>2625</v>
      </c>
    </row>
    <row r="2" spans="1:4" ht="17">
      <c r="A2" s="42" t="s">
        <v>39</v>
      </c>
      <c r="B2" s="43">
        <v>424</v>
      </c>
      <c r="C2" s="43" t="s">
        <v>40</v>
      </c>
      <c r="D2" s="41" t="str">
        <f>TEXT(A2,"00000000")</f>
        <v>CG000424</v>
      </c>
    </row>
    <row r="3" spans="1:4" ht="17">
      <c r="A3" s="42" t="s">
        <v>41</v>
      </c>
      <c r="B3" s="43">
        <v>484</v>
      </c>
      <c r="C3" s="43" t="s">
        <v>42</v>
      </c>
      <c r="D3" s="41" t="str">
        <f t="shared" ref="D3:D66" si="0">TEXT(A3,"00000000")</f>
        <v>CG000484</v>
      </c>
    </row>
    <row r="4" spans="1:4" ht="17">
      <c r="A4" s="42" t="s">
        <v>43</v>
      </c>
      <c r="B4" s="43">
        <v>567</v>
      </c>
      <c r="C4" s="43" t="s">
        <v>44</v>
      </c>
      <c r="D4" s="41" t="str">
        <f t="shared" si="0"/>
        <v>CG000567</v>
      </c>
    </row>
    <row r="5" spans="1:4" ht="17">
      <c r="A5" s="42" t="s">
        <v>45</v>
      </c>
      <c r="B5" s="43">
        <v>611</v>
      </c>
      <c r="C5" s="43" t="s">
        <v>46</v>
      </c>
      <c r="D5" s="41" t="str">
        <f t="shared" si="0"/>
        <v>CG000611</v>
      </c>
    </row>
    <row r="6" spans="1:4" ht="17">
      <c r="A6" s="42" t="s">
        <v>47</v>
      </c>
      <c r="B6" s="43">
        <v>616</v>
      </c>
      <c r="C6" s="43" t="s">
        <v>48</v>
      </c>
      <c r="D6" s="41" t="str">
        <f t="shared" si="0"/>
        <v>CG000616</v>
      </c>
    </row>
    <row r="7" spans="1:4" ht="17">
      <c r="A7" s="42" t="s">
        <v>49</v>
      </c>
      <c r="B7" s="43">
        <v>635</v>
      </c>
      <c r="C7" s="43" t="s">
        <v>50</v>
      </c>
      <c r="D7" s="41" t="str">
        <f t="shared" si="0"/>
        <v>CG000635</v>
      </c>
    </row>
    <row r="8" spans="1:4" ht="17">
      <c r="A8" s="42" t="s">
        <v>51</v>
      </c>
      <c r="B8" s="43">
        <v>664</v>
      </c>
      <c r="C8" s="43" t="s">
        <v>52</v>
      </c>
      <c r="D8" s="41" t="str">
        <f t="shared" si="0"/>
        <v>CG000664</v>
      </c>
    </row>
    <row r="9" spans="1:4" ht="17">
      <c r="A9" s="42" t="s">
        <v>53</v>
      </c>
      <c r="B9" s="43">
        <v>699</v>
      </c>
      <c r="C9" s="43" t="s">
        <v>54</v>
      </c>
      <c r="D9" s="41" t="str">
        <f t="shared" si="0"/>
        <v>CG000699</v>
      </c>
    </row>
    <row r="10" spans="1:4" ht="17">
      <c r="A10" s="42" t="s">
        <v>55</v>
      </c>
      <c r="B10" s="43">
        <v>714</v>
      </c>
      <c r="C10" s="43" t="s">
        <v>56</v>
      </c>
      <c r="D10" s="41" t="str">
        <f t="shared" si="0"/>
        <v>CG000714</v>
      </c>
    </row>
    <row r="11" spans="1:4" ht="17">
      <c r="A11" s="42" t="s">
        <v>57</v>
      </c>
      <c r="B11" s="43">
        <v>715</v>
      </c>
      <c r="C11" s="43" t="s">
        <v>58</v>
      </c>
      <c r="D11" s="41" t="str">
        <f t="shared" si="0"/>
        <v>CG000715</v>
      </c>
    </row>
    <row r="12" spans="1:4" ht="17">
      <c r="A12" s="42" t="s">
        <v>59</v>
      </c>
      <c r="B12" s="43">
        <v>743</v>
      </c>
      <c r="C12" s="43" t="s">
        <v>60</v>
      </c>
      <c r="D12" s="41" t="str">
        <f t="shared" si="0"/>
        <v>CG000743</v>
      </c>
    </row>
    <row r="13" spans="1:4" ht="17">
      <c r="A13" s="42" t="s">
        <v>61</v>
      </c>
      <c r="B13" s="43">
        <v>766</v>
      </c>
      <c r="C13" s="43" t="s">
        <v>62</v>
      </c>
      <c r="D13" s="41" t="str">
        <f t="shared" si="0"/>
        <v>CG000766</v>
      </c>
    </row>
    <row r="14" spans="1:4" ht="17">
      <c r="A14" s="42" t="s">
        <v>63</v>
      </c>
      <c r="B14" s="43">
        <v>771</v>
      </c>
      <c r="C14" s="43" t="s">
        <v>64</v>
      </c>
      <c r="D14" s="41" t="str">
        <f t="shared" si="0"/>
        <v>CG000771</v>
      </c>
    </row>
    <row r="15" spans="1:4" ht="17">
      <c r="A15" s="42" t="s">
        <v>65</v>
      </c>
      <c r="B15" s="43">
        <v>785</v>
      </c>
      <c r="C15" s="43" t="s">
        <v>66</v>
      </c>
      <c r="D15" s="41" t="str">
        <f t="shared" si="0"/>
        <v>CG000785</v>
      </c>
    </row>
    <row r="16" spans="1:4" ht="17">
      <c r="A16" s="42" t="s">
        <v>67</v>
      </c>
      <c r="B16" s="43">
        <v>795</v>
      </c>
      <c r="C16" s="43" t="s">
        <v>68</v>
      </c>
      <c r="D16" s="41" t="str">
        <f t="shared" si="0"/>
        <v>CG000795</v>
      </c>
    </row>
    <row r="17" spans="1:4" ht="17">
      <c r="A17" s="42" t="s">
        <v>69</v>
      </c>
      <c r="B17" s="43">
        <v>797</v>
      </c>
      <c r="C17" s="43" t="s">
        <v>70</v>
      </c>
      <c r="D17" s="41" t="str">
        <f t="shared" si="0"/>
        <v>CG000797</v>
      </c>
    </row>
    <row r="18" spans="1:4" ht="17">
      <c r="A18" s="42" t="s">
        <v>71</v>
      </c>
      <c r="B18" s="43">
        <v>817</v>
      </c>
      <c r="C18" s="43" t="s">
        <v>72</v>
      </c>
      <c r="D18" s="41" t="str">
        <f t="shared" si="0"/>
        <v>CG000817</v>
      </c>
    </row>
    <row r="19" spans="1:4" ht="17">
      <c r="A19" s="42" t="s">
        <v>73</v>
      </c>
      <c r="B19" s="43">
        <v>859</v>
      </c>
      <c r="C19" s="43" t="s">
        <v>74</v>
      </c>
      <c r="D19" s="41" t="str">
        <f t="shared" si="0"/>
        <v>CG000859</v>
      </c>
    </row>
    <row r="20" spans="1:4" ht="17">
      <c r="A20" s="42" t="s">
        <v>75</v>
      </c>
      <c r="B20" s="43">
        <v>871</v>
      </c>
      <c r="C20" s="43" t="s">
        <v>76</v>
      </c>
      <c r="D20" s="41" t="str">
        <f t="shared" si="0"/>
        <v>CG000871</v>
      </c>
    </row>
    <row r="21" spans="1:4" ht="17">
      <c r="A21" s="42" t="s">
        <v>77</v>
      </c>
      <c r="B21" s="43">
        <v>887</v>
      </c>
      <c r="C21" s="43" t="s">
        <v>78</v>
      </c>
      <c r="D21" s="41" t="str">
        <f t="shared" si="0"/>
        <v>CG000887</v>
      </c>
    </row>
    <row r="22" spans="1:4" ht="17">
      <c r="A22" s="42" t="s">
        <v>79</v>
      </c>
      <c r="B22" s="43">
        <v>890</v>
      </c>
      <c r="C22" s="43" t="s">
        <v>80</v>
      </c>
      <c r="D22" s="41" t="str">
        <f t="shared" si="0"/>
        <v>CG000890</v>
      </c>
    </row>
    <row r="23" spans="1:4" ht="17">
      <c r="A23" s="42" t="s">
        <v>81</v>
      </c>
      <c r="B23" s="43">
        <v>894</v>
      </c>
      <c r="C23" s="43" t="s">
        <v>82</v>
      </c>
      <c r="D23" s="41" t="str">
        <f t="shared" si="0"/>
        <v>CG000894</v>
      </c>
    </row>
    <row r="24" spans="1:4" ht="17">
      <c r="A24" s="42" t="s">
        <v>83</v>
      </c>
      <c r="B24" s="43">
        <v>905</v>
      </c>
      <c r="C24" s="43" t="s">
        <v>84</v>
      </c>
      <c r="D24" s="41" t="str">
        <f t="shared" si="0"/>
        <v>CG000905</v>
      </c>
    </row>
    <row r="25" spans="1:4" ht="17">
      <c r="A25" s="42" t="s">
        <v>85</v>
      </c>
      <c r="B25" s="43">
        <v>913</v>
      </c>
      <c r="C25" s="43" t="s">
        <v>86</v>
      </c>
      <c r="D25" s="41" t="str">
        <f t="shared" si="0"/>
        <v>CG000913</v>
      </c>
    </row>
    <row r="26" spans="1:4" ht="17">
      <c r="A26" s="42" t="s">
        <v>87</v>
      </c>
      <c r="B26" s="43">
        <v>920</v>
      </c>
      <c r="C26" s="43" t="s">
        <v>88</v>
      </c>
      <c r="D26" s="41" t="str">
        <f t="shared" si="0"/>
        <v>CG000920</v>
      </c>
    </row>
    <row r="27" spans="1:4" ht="17">
      <c r="A27" s="42" t="s">
        <v>89</v>
      </c>
      <c r="B27" s="43">
        <v>928</v>
      </c>
      <c r="C27" s="43" t="s">
        <v>90</v>
      </c>
      <c r="D27" s="41" t="str">
        <f t="shared" si="0"/>
        <v>CG000928</v>
      </c>
    </row>
    <row r="28" spans="1:4" ht="17">
      <c r="A28" s="42" t="s">
        <v>91</v>
      </c>
      <c r="B28" s="43">
        <v>930</v>
      </c>
      <c r="C28" s="43" t="s">
        <v>92</v>
      </c>
      <c r="D28" s="41" t="str">
        <f t="shared" si="0"/>
        <v>CG000930</v>
      </c>
    </row>
    <row r="29" spans="1:4" ht="17">
      <c r="A29" s="42" t="s">
        <v>93</v>
      </c>
      <c r="B29" s="43">
        <v>934</v>
      </c>
      <c r="C29" s="43" t="s">
        <v>94</v>
      </c>
      <c r="D29" s="41" t="str">
        <f t="shared" si="0"/>
        <v>CG000934</v>
      </c>
    </row>
    <row r="30" spans="1:4" ht="17">
      <c r="A30" s="42" t="s">
        <v>95</v>
      </c>
      <c r="B30" s="43">
        <v>940</v>
      </c>
      <c r="C30" s="43" t="s">
        <v>96</v>
      </c>
      <c r="D30" s="41" t="str">
        <f t="shared" si="0"/>
        <v>CG000940</v>
      </c>
    </row>
    <row r="31" spans="1:4" ht="17">
      <c r="A31" s="42" t="s">
        <v>97</v>
      </c>
      <c r="B31" s="43">
        <v>942</v>
      </c>
      <c r="C31" s="43" t="s">
        <v>98</v>
      </c>
      <c r="D31" s="41" t="str">
        <f t="shared" si="0"/>
        <v>CG000942</v>
      </c>
    </row>
    <row r="32" spans="1:4" ht="17">
      <c r="A32" s="42" t="s">
        <v>99</v>
      </c>
      <c r="B32" s="43">
        <v>960</v>
      </c>
      <c r="C32" s="43" t="s">
        <v>100</v>
      </c>
      <c r="D32" s="41" t="str">
        <f t="shared" si="0"/>
        <v>CG000960</v>
      </c>
    </row>
    <row r="33" spans="1:4" ht="17">
      <c r="A33" s="42" t="s">
        <v>101</v>
      </c>
      <c r="B33" s="43">
        <v>978</v>
      </c>
      <c r="C33" s="43" t="s">
        <v>102</v>
      </c>
      <c r="D33" s="41" t="str">
        <f t="shared" si="0"/>
        <v>CG000978</v>
      </c>
    </row>
    <row r="34" spans="1:4" ht="17">
      <c r="A34" s="42" t="s">
        <v>103</v>
      </c>
      <c r="B34" s="43">
        <v>979</v>
      </c>
      <c r="C34" s="43" t="s">
        <v>104</v>
      </c>
      <c r="D34" s="41" t="str">
        <f t="shared" si="0"/>
        <v>CG000979</v>
      </c>
    </row>
    <row r="35" spans="1:4" ht="17">
      <c r="A35" s="42" t="s">
        <v>105</v>
      </c>
      <c r="B35" s="43">
        <v>999</v>
      </c>
      <c r="C35" s="43" t="s">
        <v>106</v>
      </c>
      <c r="D35" s="41" t="str">
        <f t="shared" si="0"/>
        <v>CG000999</v>
      </c>
    </row>
    <row r="36" spans="1:4" ht="17">
      <c r="A36" s="42" t="s">
        <v>107</v>
      </c>
      <c r="B36" s="43">
        <v>1003</v>
      </c>
      <c r="C36" s="43" t="s">
        <v>108</v>
      </c>
      <c r="D36" s="41" t="str">
        <f t="shared" si="0"/>
        <v>CG001003</v>
      </c>
    </row>
    <row r="37" spans="1:4" ht="17">
      <c r="A37" s="42" t="s">
        <v>109</v>
      </c>
      <c r="B37" s="43">
        <v>1004</v>
      </c>
      <c r="C37" s="43" t="s">
        <v>110</v>
      </c>
      <c r="D37" s="41" t="str">
        <f t="shared" si="0"/>
        <v>CG001004</v>
      </c>
    </row>
    <row r="38" spans="1:4" ht="17">
      <c r="A38" s="42" t="s">
        <v>111</v>
      </c>
      <c r="B38" s="43">
        <v>1007</v>
      </c>
      <c r="C38" s="43" t="s">
        <v>112</v>
      </c>
      <c r="D38" s="41" t="str">
        <f t="shared" si="0"/>
        <v>CG001007</v>
      </c>
    </row>
    <row r="39" spans="1:4" ht="17">
      <c r="A39" s="42" t="s">
        <v>113</v>
      </c>
      <c r="B39" s="43">
        <v>1015</v>
      </c>
      <c r="C39" s="43" t="s">
        <v>114</v>
      </c>
      <c r="D39" s="41" t="str">
        <f t="shared" si="0"/>
        <v>CG001015</v>
      </c>
    </row>
    <row r="40" spans="1:4" ht="17">
      <c r="A40" s="42" t="s">
        <v>115</v>
      </c>
      <c r="B40" s="43">
        <v>1026</v>
      </c>
      <c r="C40" s="43" t="s">
        <v>116</v>
      </c>
      <c r="D40" s="41" t="str">
        <f t="shared" si="0"/>
        <v>CG001026</v>
      </c>
    </row>
    <row r="41" spans="1:4" ht="17">
      <c r="A41" s="42" t="s">
        <v>117</v>
      </c>
      <c r="B41" s="43">
        <v>1027</v>
      </c>
      <c r="C41" s="43" t="s">
        <v>118</v>
      </c>
      <c r="D41" s="41" t="str">
        <f t="shared" si="0"/>
        <v>CG001027</v>
      </c>
    </row>
    <row r="42" spans="1:4" ht="17">
      <c r="A42" s="42" t="s">
        <v>119</v>
      </c>
      <c r="B42" s="43">
        <v>1048</v>
      </c>
      <c r="C42" s="43" t="s">
        <v>120</v>
      </c>
      <c r="D42" s="41" t="str">
        <f t="shared" si="0"/>
        <v>CG001048</v>
      </c>
    </row>
    <row r="43" spans="1:4" ht="17">
      <c r="A43" s="42" t="s">
        <v>121</v>
      </c>
      <c r="B43" s="43">
        <v>1049</v>
      </c>
      <c r="C43" s="43" t="s">
        <v>122</v>
      </c>
      <c r="D43" s="41" t="str">
        <f t="shared" si="0"/>
        <v>CG001049</v>
      </c>
    </row>
    <row r="44" spans="1:4" ht="17">
      <c r="A44" s="42" t="s">
        <v>123</v>
      </c>
      <c r="B44" s="43">
        <v>1053</v>
      </c>
      <c r="C44" s="43" t="s">
        <v>124</v>
      </c>
      <c r="D44" s="41" t="str">
        <f t="shared" si="0"/>
        <v>CG001053</v>
      </c>
    </row>
    <row r="45" spans="1:4" ht="17">
      <c r="A45" s="42" t="s">
        <v>125</v>
      </c>
      <c r="B45" s="43">
        <v>1054</v>
      </c>
      <c r="C45" s="43" t="s">
        <v>126</v>
      </c>
      <c r="D45" s="41" t="str">
        <f t="shared" si="0"/>
        <v>CG001054</v>
      </c>
    </row>
    <row r="46" spans="1:4" ht="17">
      <c r="A46" s="42" t="s">
        <v>127</v>
      </c>
      <c r="B46" s="43">
        <v>1055</v>
      </c>
      <c r="C46" s="43" t="s">
        <v>128</v>
      </c>
      <c r="D46" s="41" t="str">
        <f t="shared" si="0"/>
        <v>CG001055</v>
      </c>
    </row>
    <row r="47" spans="1:4" ht="17">
      <c r="A47" s="42" t="s">
        <v>129</v>
      </c>
      <c r="B47" s="43">
        <v>1056</v>
      </c>
      <c r="C47" s="43" t="s">
        <v>130</v>
      </c>
      <c r="D47" s="41" t="str">
        <f t="shared" si="0"/>
        <v>CG001056</v>
      </c>
    </row>
    <row r="48" spans="1:4" ht="17">
      <c r="A48" s="42" t="s">
        <v>131</v>
      </c>
      <c r="B48" s="43">
        <v>1059</v>
      </c>
      <c r="C48" s="43" t="s">
        <v>132</v>
      </c>
      <c r="D48" s="41" t="str">
        <f t="shared" si="0"/>
        <v>CG001059</v>
      </c>
    </row>
    <row r="49" spans="1:4" ht="17">
      <c r="A49" s="42" t="s">
        <v>133</v>
      </c>
      <c r="B49" s="43">
        <v>1061</v>
      </c>
      <c r="C49" s="43" t="s">
        <v>134</v>
      </c>
      <c r="D49" s="41" t="str">
        <f t="shared" si="0"/>
        <v>CG001061</v>
      </c>
    </row>
    <row r="50" spans="1:4" ht="17">
      <c r="A50" s="42" t="s">
        <v>135</v>
      </c>
      <c r="B50" s="43">
        <v>1062</v>
      </c>
      <c r="C50" s="43" t="s">
        <v>136</v>
      </c>
      <c r="D50" s="41" t="str">
        <f t="shared" si="0"/>
        <v>CG001062</v>
      </c>
    </row>
    <row r="51" spans="1:4" ht="17">
      <c r="A51" s="42" t="s">
        <v>137</v>
      </c>
      <c r="B51" s="43">
        <v>1065</v>
      </c>
      <c r="C51" s="43" t="s">
        <v>138</v>
      </c>
      <c r="D51" s="41" t="str">
        <f t="shared" si="0"/>
        <v>CG001065</v>
      </c>
    </row>
    <row r="52" spans="1:4" ht="17">
      <c r="A52" s="42" t="s">
        <v>139</v>
      </c>
      <c r="B52" s="43">
        <v>1066</v>
      </c>
      <c r="C52" s="43" t="s">
        <v>140</v>
      </c>
      <c r="D52" s="41" t="str">
        <f t="shared" si="0"/>
        <v>CG001066</v>
      </c>
    </row>
    <row r="53" spans="1:4" ht="17">
      <c r="A53" s="42" t="s">
        <v>141</v>
      </c>
      <c r="B53" s="43">
        <v>1074</v>
      </c>
      <c r="C53" s="43" t="s">
        <v>142</v>
      </c>
      <c r="D53" s="41" t="str">
        <f t="shared" si="0"/>
        <v>CG001074</v>
      </c>
    </row>
    <row r="54" spans="1:4" ht="17">
      <c r="A54" s="42" t="s">
        <v>143</v>
      </c>
      <c r="B54" s="43">
        <v>1075</v>
      </c>
      <c r="C54" s="43" t="s">
        <v>144</v>
      </c>
      <c r="D54" s="41" t="str">
        <f t="shared" si="0"/>
        <v>CG001075</v>
      </c>
    </row>
    <row r="55" spans="1:4" ht="17">
      <c r="A55" s="42" t="s">
        <v>145</v>
      </c>
      <c r="B55" s="43">
        <v>1083</v>
      </c>
      <c r="C55" s="43" t="s">
        <v>146</v>
      </c>
      <c r="D55" s="41" t="str">
        <f t="shared" si="0"/>
        <v>CG001083</v>
      </c>
    </row>
    <row r="56" spans="1:4" ht="17">
      <c r="A56" s="42" t="s">
        <v>147</v>
      </c>
      <c r="B56" s="43">
        <v>1091</v>
      </c>
      <c r="C56" s="43" t="s">
        <v>148</v>
      </c>
      <c r="D56" s="41" t="str">
        <f t="shared" si="0"/>
        <v>CG001091</v>
      </c>
    </row>
    <row r="57" spans="1:4" ht="17">
      <c r="A57" s="42" t="s">
        <v>149</v>
      </c>
      <c r="B57" s="43">
        <v>1094</v>
      </c>
      <c r="C57" s="43" t="s">
        <v>150</v>
      </c>
      <c r="D57" s="41" t="str">
        <f t="shared" si="0"/>
        <v>CG001094</v>
      </c>
    </row>
    <row r="58" spans="1:4" ht="17">
      <c r="A58" s="42" t="s">
        <v>151</v>
      </c>
      <c r="B58" s="43">
        <v>1098</v>
      </c>
      <c r="C58" s="43" t="s">
        <v>152</v>
      </c>
      <c r="D58" s="41" t="str">
        <f t="shared" si="0"/>
        <v>CG001098</v>
      </c>
    </row>
    <row r="59" spans="1:4" ht="17">
      <c r="A59" s="42" t="s">
        <v>153</v>
      </c>
      <c r="B59" s="43">
        <v>1105</v>
      </c>
      <c r="C59" s="43" t="s">
        <v>154</v>
      </c>
      <c r="D59" s="41" t="str">
        <f t="shared" si="0"/>
        <v>CG001105</v>
      </c>
    </row>
    <row r="60" spans="1:4" ht="17">
      <c r="A60" s="42" t="s">
        <v>155</v>
      </c>
      <c r="B60" s="43">
        <v>1111</v>
      </c>
      <c r="C60" s="43" t="s">
        <v>156</v>
      </c>
      <c r="D60" s="41" t="str">
        <f t="shared" si="0"/>
        <v>CG001111</v>
      </c>
    </row>
    <row r="61" spans="1:4" ht="17">
      <c r="A61" s="42" t="s">
        <v>157</v>
      </c>
      <c r="B61" s="43">
        <v>1113</v>
      </c>
      <c r="C61" s="43" t="s">
        <v>158</v>
      </c>
      <c r="D61" s="41" t="str">
        <f t="shared" si="0"/>
        <v>CG001113</v>
      </c>
    </row>
    <row r="62" spans="1:4" ht="17">
      <c r="A62" s="42" t="s">
        <v>159</v>
      </c>
      <c r="B62" s="43">
        <v>1114</v>
      </c>
      <c r="C62" s="43" t="s">
        <v>160</v>
      </c>
      <c r="D62" s="41" t="str">
        <f t="shared" si="0"/>
        <v>CG001114</v>
      </c>
    </row>
    <row r="63" spans="1:4" ht="17">
      <c r="A63" s="42" t="s">
        <v>161</v>
      </c>
      <c r="B63" s="43">
        <v>1117</v>
      </c>
      <c r="C63" s="43" t="s">
        <v>162</v>
      </c>
      <c r="D63" s="41" t="str">
        <f t="shared" si="0"/>
        <v>CG001117</v>
      </c>
    </row>
    <row r="64" spans="1:4" ht="17">
      <c r="A64" s="42" t="s">
        <v>163</v>
      </c>
      <c r="B64" s="43">
        <v>1119</v>
      </c>
      <c r="C64" s="43" t="s">
        <v>164</v>
      </c>
      <c r="D64" s="41" t="str">
        <f t="shared" si="0"/>
        <v>CG001119</v>
      </c>
    </row>
    <row r="65" spans="1:4" ht="17">
      <c r="A65" s="42" t="s">
        <v>165</v>
      </c>
      <c r="B65" s="43">
        <v>1120</v>
      </c>
      <c r="C65" s="43" t="s">
        <v>166</v>
      </c>
      <c r="D65" s="41" t="str">
        <f t="shared" si="0"/>
        <v>CG001120</v>
      </c>
    </row>
    <row r="66" spans="1:4" ht="17">
      <c r="A66" s="42" t="s">
        <v>167</v>
      </c>
      <c r="B66" s="43">
        <v>1128</v>
      </c>
      <c r="C66" s="43" t="s">
        <v>168</v>
      </c>
      <c r="D66" s="41" t="str">
        <f t="shared" si="0"/>
        <v>CG001128</v>
      </c>
    </row>
    <row r="67" spans="1:4" ht="17">
      <c r="A67" s="42" t="s">
        <v>169</v>
      </c>
      <c r="B67" s="43">
        <v>1132</v>
      </c>
      <c r="C67" s="43" t="s">
        <v>170</v>
      </c>
      <c r="D67" s="41" t="str">
        <f t="shared" ref="D67:D130" si="1">TEXT(A67,"00000000")</f>
        <v>CG001132</v>
      </c>
    </row>
    <row r="68" spans="1:4" ht="17">
      <c r="A68" s="42" t="s">
        <v>171</v>
      </c>
      <c r="B68" s="43">
        <v>1136</v>
      </c>
      <c r="C68" s="43" t="s">
        <v>172</v>
      </c>
      <c r="D68" s="41" t="str">
        <f t="shared" si="1"/>
        <v>CG001136</v>
      </c>
    </row>
    <row r="69" spans="1:4" ht="17">
      <c r="A69" s="42" t="s">
        <v>173</v>
      </c>
      <c r="B69" s="43">
        <v>1137</v>
      </c>
      <c r="C69" s="43" t="s">
        <v>174</v>
      </c>
      <c r="D69" s="41" t="str">
        <f t="shared" si="1"/>
        <v>CG001137</v>
      </c>
    </row>
    <row r="70" spans="1:4" ht="17">
      <c r="A70" s="42" t="s">
        <v>175</v>
      </c>
      <c r="B70" s="43">
        <v>1142</v>
      </c>
      <c r="C70" s="43" t="s">
        <v>176</v>
      </c>
      <c r="D70" s="41" t="str">
        <f t="shared" si="1"/>
        <v>CG001142</v>
      </c>
    </row>
    <row r="71" spans="1:4" ht="17">
      <c r="A71" s="42" t="s">
        <v>177</v>
      </c>
      <c r="B71" s="43">
        <v>1147</v>
      </c>
      <c r="C71" s="43" t="s">
        <v>178</v>
      </c>
      <c r="D71" s="41" t="str">
        <f t="shared" si="1"/>
        <v>CG001147</v>
      </c>
    </row>
    <row r="72" spans="1:4" ht="17">
      <c r="A72" s="42" t="s">
        <v>179</v>
      </c>
      <c r="B72" s="43">
        <v>1149</v>
      </c>
      <c r="C72" s="43" t="s">
        <v>180</v>
      </c>
      <c r="D72" s="41" t="str">
        <f t="shared" si="1"/>
        <v>CG001149</v>
      </c>
    </row>
    <row r="73" spans="1:4" ht="17">
      <c r="A73" s="42" t="s">
        <v>181</v>
      </c>
      <c r="B73" s="43">
        <v>1150</v>
      </c>
      <c r="C73" s="43" t="s">
        <v>182</v>
      </c>
      <c r="D73" s="41" t="str">
        <f t="shared" si="1"/>
        <v>CG001150</v>
      </c>
    </row>
    <row r="74" spans="1:4" ht="17">
      <c r="A74" s="42" t="s">
        <v>183</v>
      </c>
      <c r="B74" s="43">
        <v>1151</v>
      </c>
      <c r="C74" s="43" t="s">
        <v>184</v>
      </c>
      <c r="D74" s="41" t="str">
        <f t="shared" si="1"/>
        <v>CG001151</v>
      </c>
    </row>
    <row r="75" spans="1:4" ht="17">
      <c r="A75" s="42" t="s">
        <v>185</v>
      </c>
      <c r="B75" s="43">
        <v>1155</v>
      </c>
      <c r="C75" s="43" t="s">
        <v>186</v>
      </c>
      <c r="D75" s="41" t="str">
        <f t="shared" si="1"/>
        <v>CG001155</v>
      </c>
    </row>
    <row r="76" spans="1:4" ht="17">
      <c r="A76" s="42" t="s">
        <v>187</v>
      </c>
      <c r="B76" s="43">
        <v>1156</v>
      </c>
      <c r="C76" s="43" t="s">
        <v>188</v>
      </c>
      <c r="D76" s="41" t="str">
        <f t="shared" si="1"/>
        <v>CG001156</v>
      </c>
    </row>
    <row r="77" spans="1:4" ht="17">
      <c r="A77" s="42" t="s">
        <v>189</v>
      </c>
      <c r="B77" s="43">
        <v>1157</v>
      </c>
      <c r="C77" s="43" t="s">
        <v>190</v>
      </c>
      <c r="D77" s="41" t="str">
        <f t="shared" si="1"/>
        <v>CG001157</v>
      </c>
    </row>
    <row r="78" spans="1:4" ht="17">
      <c r="A78" s="42" t="s">
        <v>191</v>
      </c>
      <c r="B78" s="43">
        <v>1158</v>
      </c>
      <c r="C78" s="43" t="s">
        <v>192</v>
      </c>
      <c r="D78" s="41" t="str">
        <f t="shared" si="1"/>
        <v>CG001158</v>
      </c>
    </row>
    <row r="79" spans="1:4" ht="17">
      <c r="A79" s="42" t="s">
        <v>193</v>
      </c>
      <c r="B79" s="43">
        <v>1171</v>
      </c>
      <c r="C79" s="43" t="s">
        <v>194</v>
      </c>
      <c r="D79" s="41" t="str">
        <f t="shared" si="1"/>
        <v>CG001171</v>
      </c>
    </row>
    <row r="80" spans="1:4" ht="17">
      <c r="A80" s="42" t="s">
        <v>195</v>
      </c>
      <c r="B80" s="43">
        <v>1177</v>
      </c>
      <c r="C80" s="43" t="s">
        <v>196</v>
      </c>
      <c r="D80" s="41" t="str">
        <f t="shared" si="1"/>
        <v>CG001177</v>
      </c>
    </row>
    <row r="81" spans="1:4" ht="17">
      <c r="A81" s="42" t="s">
        <v>197</v>
      </c>
      <c r="B81" s="43">
        <v>1184</v>
      </c>
      <c r="C81" s="43" t="s">
        <v>198</v>
      </c>
      <c r="D81" s="41" t="str">
        <f t="shared" si="1"/>
        <v>CG001184</v>
      </c>
    </row>
    <row r="82" spans="1:4" ht="17">
      <c r="A82" s="42" t="s">
        <v>199</v>
      </c>
      <c r="B82" s="43">
        <v>1190</v>
      </c>
      <c r="C82" s="43" t="s">
        <v>200</v>
      </c>
      <c r="D82" s="41" t="str">
        <f t="shared" si="1"/>
        <v>CG001190</v>
      </c>
    </row>
    <row r="83" spans="1:4" ht="17">
      <c r="A83" s="42" t="s">
        <v>201</v>
      </c>
      <c r="B83" s="43">
        <v>1191</v>
      </c>
      <c r="C83" s="43" t="s">
        <v>202</v>
      </c>
      <c r="D83" s="41" t="str">
        <f t="shared" si="1"/>
        <v>CG001191</v>
      </c>
    </row>
    <row r="84" spans="1:4" ht="17">
      <c r="A84" s="42" t="s">
        <v>203</v>
      </c>
      <c r="B84" s="43">
        <v>1192</v>
      </c>
      <c r="C84" s="43" t="s">
        <v>204</v>
      </c>
      <c r="D84" s="41" t="str">
        <f t="shared" si="1"/>
        <v>CG001192</v>
      </c>
    </row>
    <row r="85" spans="1:4" ht="17">
      <c r="A85" s="42" t="s">
        <v>205</v>
      </c>
      <c r="B85" s="43">
        <v>1197</v>
      </c>
      <c r="C85" s="43" t="s">
        <v>206</v>
      </c>
      <c r="D85" s="41" t="str">
        <f t="shared" si="1"/>
        <v>CG001197</v>
      </c>
    </row>
    <row r="86" spans="1:4" ht="17">
      <c r="A86" s="42" t="s">
        <v>207</v>
      </c>
      <c r="B86" s="43">
        <v>1200</v>
      </c>
      <c r="C86" s="43" t="s">
        <v>208</v>
      </c>
      <c r="D86" s="41" t="str">
        <f t="shared" si="1"/>
        <v>CG001200</v>
      </c>
    </row>
    <row r="87" spans="1:4" ht="17">
      <c r="A87" s="42" t="s">
        <v>209</v>
      </c>
      <c r="B87" s="43">
        <v>1208</v>
      </c>
      <c r="C87" s="43" t="s">
        <v>210</v>
      </c>
      <c r="D87" s="41" t="str">
        <f t="shared" si="1"/>
        <v>CG001208</v>
      </c>
    </row>
    <row r="88" spans="1:4" ht="17">
      <c r="A88" s="42" t="s">
        <v>211</v>
      </c>
      <c r="B88" s="43">
        <v>1214</v>
      </c>
      <c r="C88" s="43" t="s">
        <v>212</v>
      </c>
      <c r="D88" s="41" t="str">
        <f t="shared" si="1"/>
        <v>CG001214</v>
      </c>
    </row>
    <row r="89" spans="1:4" ht="17">
      <c r="A89" s="42" t="s">
        <v>213</v>
      </c>
      <c r="B89" s="43">
        <v>1218</v>
      </c>
      <c r="C89" s="43" t="s">
        <v>214</v>
      </c>
      <c r="D89" s="41" t="str">
        <f t="shared" si="1"/>
        <v>CG001218</v>
      </c>
    </row>
    <row r="90" spans="1:4" ht="17">
      <c r="A90" s="42" t="s">
        <v>215</v>
      </c>
      <c r="B90" s="43">
        <v>1219</v>
      </c>
      <c r="C90" s="43" t="s">
        <v>216</v>
      </c>
      <c r="D90" s="41" t="str">
        <f t="shared" si="1"/>
        <v>CG001219</v>
      </c>
    </row>
    <row r="91" spans="1:4" ht="17">
      <c r="A91" s="42" t="s">
        <v>217</v>
      </c>
      <c r="B91" s="43">
        <v>1221</v>
      </c>
      <c r="C91" s="43" t="s">
        <v>218</v>
      </c>
      <c r="D91" s="41" t="str">
        <f t="shared" si="1"/>
        <v>CG001221</v>
      </c>
    </row>
    <row r="92" spans="1:4" ht="17">
      <c r="A92" s="42" t="s">
        <v>219</v>
      </c>
      <c r="B92" s="43">
        <v>1223</v>
      </c>
      <c r="C92" s="43" t="s">
        <v>220</v>
      </c>
      <c r="D92" s="41" t="str">
        <f t="shared" si="1"/>
        <v>CG001223</v>
      </c>
    </row>
    <row r="93" spans="1:4" ht="17">
      <c r="A93" s="42" t="s">
        <v>221</v>
      </c>
      <c r="B93" s="43">
        <v>1225</v>
      </c>
      <c r="C93" s="43" t="s">
        <v>222</v>
      </c>
      <c r="D93" s="41" t="str">
        <f t="shared" si="1"/>
        <v>CG001225</v>
      </c>
    </row>
    <row r="94" spans="1:4" ht="17">
      <c r="A94" s="42" t="s">
        <v>223</v>
      </c>
      <c r="B94" s="43">
        <v>1229</v>
      </c>
      <c r="C94" s="43" t="s">
        <v>224</v>
      </c>
      <c r="D94" s="41" t="str">
        <f t="shared" si="1"/>
        <v>CG001229</v>
      </c>
    </row>
    <row r="95" spans="1:4" ht="17">
      <c r="A95" s="42" t="s">
        <v>225</v>
      </c>
      <c r="B95" s="43">
        <v>1231</v>
      </c>
      <c r="C95" s="43" t="s">
        <v>226</v>
      </c>
      <c r="D95" s="41" t="str">
        <f t="shared" si="1"/>
        <v>CG001231</v>
      </c>
    </row>
    <row r="96" spans="1:4" ht="17">
      <c r="A96" s="42" t="s">
        <v>227</v>
      </c>
      <c r="B96" s="43">
        <v>1232</v>
      </c>
      <c r="C96" s="43" t="s">
        <v>228</v>
      </c>
      <c r="D96" s="41" t="str">
        <f t="shared" si="1"/>
        <v>CG001232</v>
      </c>
    </row>
    <row r="97" spans="1:4" ht="17">
      <c r="A97" s="42" t="s">
        <v>229</v>
      </c>
      <c r="B97" s="43">
        <v>1236</v>
      </c>
      <c r="C97" s="43" t="s">
        <v>230</v>
      </c>
      <c r="D97" s="41" t="str">
        <f t="shared" si="1"/>
        <v>CG001236</v>
      </c>
    </row>
    <row r="98" spans="1:4" ht="17">
      <c r="A98" s="42" t="s">
        <v>231</v>
      </c>
      <c r="B98" s="43">
        <v>1247</v>
      </c>
      <c r="C98" s="43" t="s">
        <v>232</v>
      </c>
      <c r="D98" s="41" t="str">
        <f t="shared" si="1"/>
        <v>CG001247</v>
      </c>
    </row>
    <row r="99" spans="1:4" ht="17">
      <c r="A99" s="42" t="s">
        <v>233</v>
      </c>
      <c r="B99" s="43">
        <v>1249</v>
      </c>
      <c r="C99" s="43" t="s">
        <v>234</v>
      </c>
      <c r="D99" s="41" t="str">
        <f t="shared" si="1"/>
        <v>CG001249</v>
      </c>
    </row>
    <row r="100" spans="1:4" ht="17">
      <c r="A100" s="42" t="s">
        <v>235</v>
      </c>
      <c r="B100" s="43">
        <v>1250</v>
      </c>
      <c r="C100" s="43" t="s">
        <v>236</v>
      </c>
      <c r="D100" s="41" t="str">
        <f t="shared" si="1"/>
        <v>CG001250</v>
      </c>
    </row>
    <row r="101" spans="1:4" ht="17">
      <c r="A101" s="42" t="s">
        <v>237</v>
      </c>
      <c r="B101" s="43">
        <v>1260</v>
      </c>
      <c r="C101" s="43" t="s">
        <v>238</v>
      </c>
      <c r="D101" s="41" t="str">
        <f t="shared" si="1"/>
        <v>CG001260</v>
      </c>
    </row>
    <row r="102" spans="1:4" ht="17">
      <c r="A102" s="42" t="s">
        <v>239</v>
      </c>
      <c r="B102" s="43">
        <v>1265</v>
      </c>
      <c r="C102" s="43" t="s">
        <v>240</v>
      </c>
      <c r="D102" s="41" t="str">
        <f t="shared" si="1"/>
        <v>CG001265</v>
      </c>
    </row>
    <row r="103" spans="1:4" ht="17">
      <c r="A103" s="42" t="s">
        <v>241</v>
      </c>
      <c r="B103" s="43">
        <v>1269</v>
      </c>
      <c r="C103" s="43" t="s">
        <v>242</v>
      </c>
      <c r="D103" s="41" t="str">
        <f t="shared" si="1"/>
        <v>CG001269</v>
      </c>
    </row>
    <row r="104" spans="1:4" ht="17">
      <c r="A104" s="42" t="s">
        <v>243</v>
      </c>
      <c r="B104" s="43">
        <v>1271</v>
      </c>
      <c r="C104" s="43" t="s">
        <v>244</v>
      </c>
      <c r="D104" s="41" t="str">
        <f t="shared" si="1"/>
        <v>CG001271</v>
      </c>
    </row>
    <row r="105" spans="1:4" ht="17">
      <c r="A105" s="42" t="s">
        <v>245</v>
      </c>
      <c r="B105" s="43">
        <v>1272</v>
      </c>
      <c r="C105" s="43" t="s">
        <v>246</v>
      </c>
      <c r="D105" s="41" t="str">
        <f t="shared" si="1"/>
        <v>CG001272</v>
      </c>
    </row>
    <row r="106" spans="1:4" ht="17">
      <c r="A106" s="42" t="s">
        <v>247</v>
      </c>
      <c r="B106" s="43">
        <v>1277</v>
      </c>
      <c r="C106" s="43" t="s">
        <v>248</v>
      </c>
      <c r="D106" s="41" t="str">
        <f t="shared" si="1"/>
        <v>CG001277</v>
      </c>
    </row>
    <row r="107" spans="1:4" ht="17">
      <c r="A107" s="42" t="s">
        <v>249</v>
      </c>
      <c r="B107" s="43">
        <v>1282</v>
      </c>
      <c r="C107" s="43" t="s">
        <v>250</v>
      </c>
      <c r="D107" s="41" t="str">
        <f t="shared" si="1"/>
        <v>CG001282</v>
      </c>
    </row>
    <row r="108" spans="1:4" ht="17">
      <c r="A108" s="42" t="s">
        <v>251</v>
      </c>
      <c r="B108" s="43">
        <v>1283</v>
      </c>
      <c r="C108" s="43" t="s">
        <v>252</v>
      </c>
      <c r="D108" s="41" t="str">
        <f t="shared" si="1"/>
        <v>CG001283</v>
      </c>
    </row>
    <row r="109" spans="1:4" ht="17">
      <c r="A109" s="42" t="s">
        <v>253</v>
      </c>
      <c r="B109" s="43">
        <v>1284</v>
      </c>
      <c r="C109" s="43" t="s">
        <v>254</v>
      </c>
      <c r="D109" s="41" t="str">
        <f t="shared" si="1"/>
        <v>CG001284</v>
      </c>
    </row>
    <row r="110" spans="1:4" ht="17">
      <c r="A110" s="42" t="s">
        <v>255</v>
      </c>
      <c r="B110" s="43">
        <v>1285</v>
      </c>
      <c r="C110" s="43" t="s">
        <v>256</v>
      </c>
      <c r="D110" s="41" t="str">
        <f t="shared" si="1"/>
        <v>CG001285</v>
      </c>
    </row>
    <row r="111" spans="1:4" ht="17">
      <c r="A111" s="42" t="s">
        <v>257</v>
      </c>
      <c r="B111" s="43">
        <v>1287</v>
      </c>
      <c r="C111" s="43" t="s">
        <v>258</v>
      </c>
      <c r="D111" s="41" t="str">
        <f t="shared" si="1"/>
        <v>CG001287</v>
      </c>
    </row>
    <row r="112" spans="1:4" ht="17">
      <c r="A112" s="42" t="s">
        <v>259</v>
      </c>
      <c r="B112" s="43">
        <v>1290</v>
      </c>
      <c r="C112" s="43" t="s">
        <v>260</v>
      </c>
      <c r="D112" s="41" t="str">
        <f t="shared" si="1"/>
        <v>CG001290</v>
      </c>
    </row>
    <row r="113" spans="1:4" ht="17">
      <c r="A113" s="42" t="s">
        <v>261</v>
      </c>
      <c r="B113" s="43">
        <v>1293</v>
      </c>
      <c r="C113" s="43" t="s">
        <v>262</v>
      </c>
      <c r="D113" s="41" t="str">
        <f t="shared" si="1"/>
        <v>CG001293</v>
      </c>
    </row>
    <row r="114" spans="1:4" ht="17">
      <c r="A114" s="42" t="s">
        <v>263</v>
      </c>
      <c r="B114" s="43">
        <v>1297</v>
      </c>
      <c r="C114" s="43" t="s">
        <v>264</v>
      </c>
      <c r="D114" s="41" t="str">
        <f t="shared" si="1"/>
        <v>CG001297</v>
      </c>
    </row>
    <row r="115" spans="1:4" ht="17">
      <c r="A115" s="42" t="s">
        <v>265</v>
      </c>
      <c r="B115" s="43">
        <v>1305</v>
      </c>
      <c r="C115" s="43" t="s">
        <v>266</v>
      </c>
      <c r="D115" s="41" t="str">
        <f t="shared" si="1"/>
        <v>CG001305</v>
      </c>
    </row>
    <row r="116" spans="1:4" ht="17">
      <c r="A116" s="42" t="s">
        <v>267</v>
      </c>
      <c r="B116" s="43">
        <v>1308</v>
      </c>
      <c r="C116" s="43" t="s">
        <v>268</v>
      </c>
      <c r="D116" s="41" t="str">
        <f t="shared" si="1"/>
        <v>CG001308</v>
      </c>
    </row>
    <row r="117" spans="1:4" ht="17">
      <c r="A117" s="42" t="s">
        <v>269</v>
      </c>
      <c r="B117" s="43">
        <v>1310</v>
      </c>
      <c r="C117" s="43" t="s">
        <v>270</v>
      </c>
      <c r="D117" s="41" t="str">
        <f t="shared" si="1"/>
        <v>CG001310</v>
      </c>
    </row>
    <row r="118" spans="1:4" ht="17">
      <c r="A118" s="42" t="s">
        <v>271</v>
      </c>
      <c r="B118" s="43">
        <v>1317</v>
      </c>
      <c r="C118" s="43" t="s">
        <v>272</v>
      </c>
      <c r="D118" s="41" t="str">
        <f t="shared" si="1"/>
        <v>CG001317</v>
      </c>
    </row>
    <row r="119" spans="1:4" ht="17">
      <c r="A119" s="42" t="s">
        <v>273</v>
      </c>
      <c r="B119" s="43">
        <v>1319</v>
      </c>
      <c r="C119" s="43" t="s">
        <v>274</v>
      </c>
      <c r="D119" s="41" t="str">
        <f t="shared" si="1"/>
        <v>CG001319</v>
      </c>
    </row>
    <row r="120" spans="1:4" ht="17">
      <c r="A120" s="42" t="s">
        <v>275</v>
      </c>
      <c r="B120" s="43">
        <v>1320</v>
      </c>
      <c r="C120" s="43" t="s">
        <v>276</v>
      </c>
      <c r="D120" s="41" t="str">
        <f t="shared" si="1"/>
        <v>CG001320</v>
      </c>
    </row>
    <row r="121" spans="1:4" ht="17">
      <c r="A121" s="42" t="s">
        <v>277</v>
      </c>
      <c r="B121" s="43">
        <v>1323</v>
      </c>
      <c r="C121" s="43" t="s">
        <v>278</v>
      </c>
      <c r="D121" s="41" t="str">
        <f t="shared" si="1"/>
        <v>CG001323</v>
      </c>
    </row>
    <row r="122" spans="1:4" ht="17">
      <c r="A122" s="42" t="s">
        <v>279</v>
      </c>
      <c r="B122" s="43">
        <v>1325</v>
      </c>
      <c r="C122" s="43" t="s">
        <v>280</v>
      </c>
      <c r="D122" s="41" t="str">
        <f t="shared" si="1"/>
        <v>CG001325</v>
      </c>
    </row>
    <row r="123" spans="1:4" ht="17">
      <c r="A123" s="42" t="s">
        <v>281</v>
      </c>
      <c r="B123" s="43">
        <v>1338</v>
      </c>
      <c r="C123" s="43" t="s">
        <v>282</v>
      </c>
      <c r="D123" s="41" t="str">
        <f t="shared" si="1"/>
        <v>CG001338</v>
      </c>
    </row>
    <row r="124" spans="1:4" ht="17">
      <c r="A124" s="42" t="s">
        <v>283</v>
      </c>
      <c r="B124" s="43">
        <v>1339</v>
      </c>
      <c r="C124" s="43" t="s">
        <v>284</v>
      </c>
      <c r="D124" s="41" t="str">
        <f t="shared" si="1"/>
        <v>CG001339</v>
      </c>
    </row>
    <row r="125" spans="1:4" ht="17">
      <c r="A125" s="42" t="s">
        <v>285</v>
      </c>
      <c r="B125" s="43">
        <v>1340</v>
      </c>
      <c r="C125" s="43" t="s">
        <v>286</v>
      </c>
      <c r="D125" s="41" t="str">
        <f t="shared" si="1"/>
        <v>CG001340</v>
      </c>
    </row>
    <row r="126" spans="1:4" ht="17">
      <c r="A126" s="42" t="s">
        <v>287</v>
      </c>
      <c r="B126" s="43">
        <v>1341</v>
      </c>
      <c r="C126" s="43" t="s">
        <v>288</v>
      </c>
      <c r="D126" s="41" t="str">
        <f t="shared" si="1"/>
        <v>CG001341</v>
      </c>
    </row>
    <row r="127" spans="1:4" ht="17">
      <c r="A127" s="42" t="s">
        <v>289</v>
      </c>
      <c r="B127" s="43">
        <v>1343</v>
      </c>
      <c r="C127" s="43" t="s">
        <v>290</v>
      </c>
      <c r="D127" s="41" t="str">
        <f t="shared" si="1"/>
        <v>CG001343</v>
      </c>
    </row>
    <row r="128" spans="1:4" ht="17">
      <c r="A128" s="42" t="s">
        <v>291</v>
      </c>
      <c r="B128" s="43">
        <v>1344</v>
      </c>
      <c r="C128" s="43" t="s">
        <v>292</v>
      </c>
      <c r="D128" s="41" t="str">
        <f t="shared" si="1"/>
        <v>CG001344</v>
      </c>
    </row>
    <row r="129" spans="1:4" ht="17">
      <c r="A129" s="42" t="s">
        <v>293</v>
      </c>
      <c r="B129" s="43">
        <v>1358</v>
      </c>
      <c r="C129" s="43" t="s">
        <v>294</v>
      </c>
      <c r="D129" s="41" t="str">
        <f t="shared" si="1"/>
        <v>CG001358</v>
      </c>
    </row>
    <row r="130" spans="1:4" ht="17">
      <c r="A130" s="42" t="s">
        <v>295</v>
      </c>
      <c r="B130" s="43">
        <v>1376</v>
      </c>
      <c r="C130" s="43" t="s">
        <v>296</v>
      </c>
      <c r="D130" s="41" t="str">
        <f t="shared" si="1"/>
        <v>CG001376</v>
      </c>
    </row>
    <row r="131" spans="1:4" ht="17">
      <c r="A131" s="42" t="s">
        <v>297</v>
      </c>
      <c r="B131" s="43">
        <v>1377</v>
      </c>
      <c r="C131" s="43" t="s">
        <v>298</v>
      </c>
      <c r="D131" s="41" t="str">
        <f t="shared" ref="D131:D194" si="2">TEXT(A131,"00000000")</f>
        <v>CG001377</v>
      </c>
    </row>
    <row r="132" spans="1:4" ht="17">
      <c r="A132" s="42" t="s">
        <v>299</v>
      </c>
      <c r="B132" s="43">
        <v>1379</v>
      </c>
      <c r="C132" s="43" t="s">
        <v>300</v>
      </c>
      <c r="D132" s="41" t="str">
        <f t="shared" si="2"/>
        <v>CG001379</v>
      </c>
    </row>
    <row r="133" spans="1:4" ht="17">
      <c r="A133" s="42" t="s">
        <v>301</v>
      </c>
      <c r="B133" s="43">
        <v>1380</v>
      </c>
      <c r="C133" s="43" t="s">
        <v>302</v>
      </c>
      <c r="D133" s="41" t="str">
        <f t="shared" si="2"/>
        <v>CG001380</v>
      </c>
    </row>
    <row r="134" spans="1:4" ht="17">
      <c r="A134" s="42" t="s">
        <v>303</v>
      </c>
      <c r="B134" s="43">
        <v>1386</v>
      </c>
      <c r="C134" s="43" t="s">
        <v>304</v>
      </c>
      <c r="D134" s="41" t="str">
        <f t="shared" si="2"/>
        <v>CG001386</v>
      </c>
    </row>
    <row r="135" spans="1:4" ht="17">
      <c r="A135" s="42" t="s">
        <v>305</v>
      </c>
      <c r="B135" s="43">
        <v>1387</v>
      </c>
      <c r="C135" s="43" t="s">
        <v>306</v>
      </c>
      <c r="D135" s="41" t="str">
        <f t="shared" si="2"/>
        <v>CG001387</v>
      </c>
    </row>
    <row r="136" spans="1:4" ht="17">
      <c r="A136" s="42" t="s">
        <v>307</v>
      </c>
      <c r="B136" s="43">
        <v>1390</v>
      </c>
      <c r="C136" s="43" t="s">
        <v>308</v>
      </c>
      <c r="D136" s="41" t="str">
        <f t="shared" si="2"/>
        <v>CG001390</v>
      </c>
    </row>
    <row r="137" spans="1:4" ht="17">
      <c r="A137" s="42" t="s">
        <v>309</v>
      </c>
      <c r="B137" s="43">
        <v>1392</v>
      </c>
      <c r="C137" s="43" t="s">
        <v>310</v>
      </c>
      <c r="D137" s="41" t="str">
        <f t="shared" si="2"/>
        <v>CG001392</v>
      </c>
    </row>
    <row r="138" spans="1:4" ht="17">
      <c r="A138" s="42" t="s">
        <v>311</v>
      </c>
      <c r="B138" s="43">
        <v>1397</v>
      </c>
      <c r="C138" s="43" t="s">
        <v>312</v>
      </c>
      <c r="D138" s="41" t="str">
        <f t="shared" si="2"/>
        <v>CG001397</v>
      </c>
    </row>
    <row r="139" spans="1:4" ht="17">
      <c r="A139" s="42" t="s">
        <v>313</v>
      </c>
      <c r="B139" s="43">
        <v>1413</v>
      </c>
      <c r="C139" s="43" t="s">
        <v>314</v>
      </c>
      <c r="D139" s="41" t="str">
        <f t="shared" si="2"/>
        <v>CG001413</v>
      </c>
    </row>
    <row r="140" spans="1:4" ht="17">
      <c r="A140" s="42" t="s">
        <v>315</v>
      </c>
      <c r="B140" s="43">
        <v>1416</v>
      </c>
      <c r="C140" s="43" t="s">
        <v>316</v>
      </c>
      <c r="D140" s="41" t="str">
        <f t="shared" si="2"/>
        <v>CG001416</v>
      </c>
    </row>
    <row r="141" spans="1:4" ht="17">
      <c r="A141" s="42" t="s">
        <v>317</v>
      </c>
      <c r="B141" s="43">
        <v>1421</v>
      </c>
      <c r="C141" s="43" t="s">
        <v>318</v>
      </c>
      <c r="D141" s="41" t="str">
        <f t="shared" si="2"/>
        <v>CG001421</v>
      </c>
    </row>
    <row r="142" spans="1:4" ht="17">
      <c r="A142" s="42" t="s">
        <v>319</v>
      </c>
      <c r="B142" s="43">
        <v>1425</v>
      </c>
      <c r="C142" s="43" t="s">
        <v>320</v>
      </c>
      <c r="D142" s="41" t="str">
        <f t="shared" si="2"/>
        <v>CG001425</v>
      </c>
    </row>
    <row r="143" spans="1:4" ht="17">
      <c r="A143" s="42" t="s">
        <v>321</v>
      </c>
      <c r="B143" s="43">
        <v>1429</v>
      </c>
      <c r="C143" s="43" t="s">
        <v>322</v>
      </c>
      <c r="D143" s="41" t="str">
        <f t="shared" si="2"/>
        <v>CG001429</v>
      </c>
    </row>
    <row r="144" spans="1:4" ht="17">
      <c r="A144" s="42" t="s">
        <v>323</v>
      </c>
      <c r="B144" s="43">
        <v>1430</v>
      </c>
      <c r="C144" s="43" t="s">
        <v>324</v>
      </c>
      <c r="D144" s="41" t="str">
        <f t="shared" si="2"/>
        <v>CG001430</v>
      </c>
    </row>
    <row r="145" spans="1:4" ht="17">
      <c r="A145" s="42" t="s">
        <v>325</v>
      </c>
      <c r="B145" s="43">
        <v>1434</v>
      </c>
      <c r="C145" s="43" t="s">
        <v>326</v>
      </c>
      <c r="D145" s="41" t="str">
        <f t="shared" si="2"/>
        <v>CG001434</v>
      </c>
    </row>
    <row r="146" spans="1:4" ht="17">
      <c r="A146" s="42" t="s">
        <v>327</v>
      </c>
      <c r="B146" s="43">
        <v>1436</v>
      </c>
      <c r="C146" s="43" t="s">
        <v>328</v>
      </c>
      <c r="D146" s="41" t="str">
        <f t="shared" si="2"/>
        <v>CG001436</v>
      </c>
    </row>
    <row r="147" spans="1:4" ht="17">
      <c r="A147" s="42" t="s">
        <v>329</v>
      </c>
      <c r="B147" s="43">
        <v>1437</v>
      </c>
      <c r="C147" s="43" t="s">
        <v>330</v>
      </c>
      <c r="D147" s="41" t="str">
        <f t="shared" si="2"/>
        <v>CG001437</v>
      </c>
    </row>
    <row r="148" spans="1:4" ht="17">
      <c r="A148" s="42" t="s">
        <v>331</v>
      </c>
      <c r="B148" s="43">
        <v>1442</v>
      </c>
      <c r="C148" s="43" t="s">
        <v>332</v>
      </c>
      <c r="D148" s="41" t="str">
        <f t="shared" si="2"/>
        <v>CG001442</v>
      </c>
    </row>
    <row r="149" spans="1:4" ht="17">
      <c r="A149" s="42" t="s">
        <v>333</v>
      </c>
      <c r="B149" s="43">
        <v>1443</v>
      </c>
      <c r="C149" s="43" t="s">
        <v>334</v>
      </c>
      <c r="D149" s="41" t="str">
        <f t="shared" si="2"/>
        <v>CG001443</v>
      </c>
    </row>
    <row r="150" spans="1:4" ht="17">
      <c r="A150" s="42" t="s">
        <v>335</v>
      </c>
      <c r="B150" s="43">
        <v>1449</v>
      </c>
      <c r="C150" s="43" t="s">
        <v>336</v>
      </c>
      <c r="D150" s="41" t="str">
        <f t="shared" si="2"/>
        <v>CG001449</v>
      </c>
    </row>
    <row r="151" spans="1:4" ht="17">
      <c r="A151" s="42" t="s">
        <v>337</v>
      </c>
      <c r="B151" s="43">
        <v>1450</v>
      </c>
      <c r="C151" s="43" t="s">
        <v>338</v>
      </c>
      <c r="D151" s="41" t="str">
        <f t="shared" si="2"/>
        <v>CG001450</v>
      </c>
    </row>
    <row r="152" spans="1:4" ht="17">
      <c r="A152" s="42" t="s">
        <v>339</v>
      </c>
      <c r="B152" s="43">
        <v>1451</v>
      </c>
      <c r="C152" s="43" t="s">
        <v>340</v>
      </c>
      <c r="D152" s="41" t="str">
        <f t="shared" si="2"/>
        <v>CG001451</v>
      </c>
    </row>
    <row r="153" spans="1:4" ht="17">
      <c r="A153" s="42" t="s">
        <v>341</v>
      </c>
      <c r="B153" s="43">
        <v>1454</v>
      </c>
      <c r="C153" s="43" t="s">
        <v>342</v>
      </c>
      <c r="D153" s="41" t="str">
        <f t="shared" si="2"/>
        <v>CG001454</v>
      </c>
    </row>
    <row r="154" spans="1:4" ht="17">
      <c r="A154" s="42" t="s">
        <v>343</v>
      </c>
      <c r="B154" s="43">
        <v>1456</v>
      </c>
      <c r="C154" s="43" t="s">
        <v>344</v>
      </c>
      <c r="D154" s="41" t="str">
        <f t="shared" si="2"/>
        <v>CG001456</v>
      </c>
    </row>
    <row r="155" spans="1:4" ht="17">
      <c r="A155" s="42" t="s">
        <v>345</v>
      </c>
      <c r="B155" s="43">
        <v>1460</v>
      </c>
      <c r="C155" s="43" t="s">
        <v>346</v>
      </c>
      <c r="D155" s="41" t="str">
        <f t="shared" si="2"/>
        <v>CG001460</v>
      </c>
    </row>
    <row r="156" spans="1:4" ht="17">
      <c r="A156" s="42" t="s">
        <v>347</v>
      </c>
      <c r="B156" s="43">
        <v>1461</v>
      </c>
      <c r="C156" s="43" t="s">
        <v>348</v>
      </c>
      <c r="D156" s="41" t="str">
        <f t="shared" si="2"/>
        <v>CG001461</v>
      </c>
    </row>
    <row r="157" spans="1:4" ht="17">
      <c r="A157" s="42" t="s">
        <v>349</v>
      </c>
      <c r="B157" s="43">
        <v>1464</v>
      </c>
      <c r="C157" s="43" t="s">
        <v>350</v>
      </c>
      <c r="D157" s="41" t="str">
        <f t="shared" si="2"/>
        <v>CG001464</v>
      </c>
    </row>
    <row r="158" spans="1:4" ht="17">
      <c r="A158" s="42" t="s">
        <v>351</v>
      </c>
      <c r="B158" s="43">
        <v>1466</v>
      </c>
      <c r="C158" s="43" t="s">
        <v>352</v>
      </c>
      <c r="D158" s="41" t="str">
        <f t="shared" si="2"/>
        <v>CG001466</v>
      </c>
    </row>
    <row r="159" spans="1:4" ht="17">
      <c r="A159" s="42" t="s">
        <v>353</v>
      </c>
      <c r="B159" s="43">
        <v>1467</v>
      </c>
      <c r="C159" s="43" t="s">
        <v>354</v>
      </c>
      <c r="D159" s="41" t="str">
        <f t="shared" si="2"/>
        <v>CG001467</v>
      </c>
    </row>
    <row r="160" spans="1:4" ht="17">
      <c r="A160" s="42" t="s">
        <v>355</v>
      </c>
      <c r="B160" s="43">
        <v>1481</v>
      </c>
      <c r="C160" s="43" t="s">
        <v>356</v>
      </c>
      <c r="D160" s="41" t="str">
        <f t="shared" si="2"/>
        <v>CG001481</v>
      </c>
    </row>
    <row r="161" spans="1:4" ht="17">
      <c r="A161" s="42" t="s">
        <v>357</v>
      </c>
      <c r="B161" s="43">
        <v>1483</v>
      </c>
      <c r="C161" s="43" t="s">
        <v>358</v>
      </c>
      <c r="D161" s="41" t="str">
        <f t="shared" si="2"/>
        <v>CG001483</v>
      </c>
    </row>
    <row r="162" spans="1:4" ht="17">
      <c r="A162" s="42" t="s">
        <v>359</v>
      </c>
      <c r="B162" s="43">
        <v>1487</v>
      </c>
      <c r="C162" s="43" t="s">
        <v>360</v>
      </c>
      <c r="D162" s="41" t="str">
        <f t="shared" si="2"/>
        <v>CG001487</v>
      </c>
    </row>
    <row r="163" spans="1:4" ht="17">
      <c r="A163" s="42" t="s">
        <v>361</v>
      </c>
      <c r="B163" s="43">
        <v>1490</v>
      </c>
      <c r="C163" s="43" t="s">
        <v>362</v>
      </c>
      <c r="D163" s="41" t="str">
        <f t="shared" si="2"/>
        <v>CG001490</v>
      </c>
    </row>
    <row r="164" spans="1:4" ht="17">
      <c r="A164" s="42" t="s">
        <v>363</v>
      </c>
      <c r="B164" s="43">
        <v>1492</v>
      </c>
      <c r="C164" s="43" t="s">
        <v>364</v>
      </c>
      <c r="D164" s="41" t="str">
        <f t="shared" si="2"/>
        <v>CG001492</v>
      </c>
    </row>
    <row r="165" spans="1:4" ht="17">
      <c r="A165" s="42" t="s">
        <v>365</v>
      </c>
      <c r="B165" s="43">
        <v>1502</v>
      </c>
      <c r="C165" s="43" t="s">
        <v>366</v>
      </c>
      <c r="D165" s="41" t="str">
        <f t="shared" si="2"/>
        <v>CG001502</v>
      </c>
    </row>
    <row r="166" spans="1:4" ht="17">
      <c r="A166" s="42" t="s">
        <v>367</v>
      </c>
      <c r="B166" s="43">
        <v>1504</v>
      </c>
      <c r="C166" s="43" t="s">
        <v>368</v>
      </c>
      <c r="D166" s="41" t="str">
        <f t="shared" si="2"/>
        <v>CG001504</v>
      </c>
    </row>
    <row r="167" spans="1:4" ht="17">
      <c r="A167" s="42" t="s">
        <v>369</v>
      </c>
      <c r="B167" s="43">
        <v>1506</v>
      </c>
      <c r="C167" s="43" t="s">
        <v>370</v>
      </c>
      <c r="D167" s="41" t="str">
        <f t="shared" si="2"/>
        <v>CG001506</v>
      </c>
    </row>
    <row r="168" spans="1:4" ht="17">
      <c r="A168" s="42" t="s">
        <v>371</v>
      </c>
      <c r="B168" s="43">
        <v>1507</v>
      </c>
      <c r="C168" s="43" t="s">
        <v>372</v>
      </c>
      <c r="D168" s="41" t="str">
        <f t="shared" si="2"/>
        <v>CG001507</v>
      </c>
    </row>
    <row r="169" spans="1:4" ht="17">
      <c r="A169" s="42" t="s">
        <v>373</v>
      </c>
      <c r="B169" s="43">
        <v>1509</v>
      </c>
      <c r="C169" s="43" t="s">
        <v>374</v>
      </c>
      <c r="D169" s="41" t="str">
        <f t="shared" si="2"/>
        <v>CG001509</v>
      </c>
    </row>
    <row r="170" spans="1:4" ht="17">
      <c r="A170" s="42" t="s">
        <v>375</v>
      </c>
      <c r="B170" s="43">
        <v>1510</v>
      </c>
      <c r="C170" s="43" t="s">
        <v>376</v>
      </c>
      <c r="D170" s="41" t="str">
        <f t="shared" si="2"/>
        <v>CG001510</v>
      </c>
    </row>
    <row r="171" spans="1:4" ht="17">
      <c r="A171" s="42" t="s">
        <v>377</v>
      </c>
      <c r="B171" s="43">
        <v>1513</v>
      </c>
      <c r="C171" s="43" t="s">
        <v>378</v>
      </c>
      <c r="D171" s="41" t="str">
        <f t="shared" si="2"/>
        <v>CG001513</v>
      </c>
    </row>
    <row r="172" spans="1:4" ht="17">
      <c r="A172" s="42" t="s">
        <v>379</v>
      </c>
      <c r="B172" s="43">
        <v>1515</v>
      </c>
      <c r="C172" s="43" t="s">
        <v>380</v>
      </c>
      <c r="D172" s="41" t="str">
        <f t="shared" si="2"/>
        <v>CG001515</v>
      </c>
    </row>
    <row r="173" spans="1:4" ht="17">
      <c r="A173" s="42" t="s">
        <v>381</v>
      </c>
      <c r="B173" s="43">
        <v>1518</v>
      </c>
      <c r="C173" s="43" t="s">
        <v>382</v>
      </c>
      <c r="D173" s="41" t="str">
        <f t="shared" si="2"/>
        <v>CG001518</v>
      </c>
    </row>
    <row r="174" spans="1:4" ht="17">
      <c r="A174" s="42" t="s">
        <v>383</v>
      </c>
      <c r="B174" s="43">
        <v>1527</v>
      </c>
      <c r="C174" s="43" t="s">
        <v>384</v>
      </c>
      <c r="D174" s="41" t="str">
        <f t="shared" si="2"/>
        <v>CG001527</v>
      </c>
    </row>
    <row r="175" spans="1:4" ht="17">
      <c r="A175" s="42" t="s">
        <v>385</v>
      </c>
      <c r="B175" s="43">
        <v>1532</v>
      </c>
      <c r="C175" s="43" t="s">
        <v>386</v>
      </c>
      <c r="D175" s="41" t="str">
        <f t="shared" si="2"/>
        <v>CG001532</v>
      </c>
    </row>
    <row r="176" spans="1:4" ht="17">
      <c r="A176" s="42" t="s">
        <v>387</v>
      </c>
      <c r="B176" s="43">
        <v>1543</v>
      </c>
      <c r="C176" s="43" t="s">
        <v>388</v>
      </c>
      <c r="D176" s="41" t="str">
        <f t="shared" si="2"/>
        <v>CG001543</v>
      </c>
    </row>
    <row r="177" spans="1:4" ht="17">
      <c r="A177" s="42" t="s">
        <v>389</v>
      </c>
      <c r="B177" s="43">
        <v>1544</v>
      </c>
      <c r="C177" s="43" t="s">
        <v>390</v>
      </c>
      <c r="D177" s="41" t="str">
        <f t="shared" si="2"/>
        <v>CG001544</v>
      </c>
    </row>
    <row r="178" spans="1:4" ht="17">
      <c r="A178" s="42" t="s">
        <v>391</v>
      </c>
      <c r="B178" s="43">
        <v>1546</v>
      </c>
      <c r="C178" s="43" t="s">
        <v>392</v>
      </c>
      <c r="D178" s="41" t="str">
        <f t="shared" si="2"/>
        <v>CG001546</v>
      </c>
    </row>
    <row r="179" spans="1:4" ht="17">
      <c r="A179" s="42" t="s">
        <v>393</v>
      </c>
      <c r="B179" s="43">
        <v>1550</v>
      </c>
      <c r="C179" s="43" t="s">
        <v>394</v>
      </c>
      <c r="D179" s="41" t="str">
        <f t="shared" si="2"/>
        <v>CG001550</v>
      </c>
    </row>
    <row r="180" spans="1:4" ht="17">
      <c r="A180" s="42" t="s">
        <v>395</v>
      </c>
      <c r="B180" s="43">
        <v>1554</v>
      </c>
      <c r="C180" s="43" t="s">
        <v>396</v>
      </c>
      <c r="D180" s="41" t="str">
        <f t="shared" si="2"/>
        <v>CG001554</v>
      </c>
    </row>
    <row r="181" spans="1:4" ht="17">
      <c r="A181" s="42" t="s">
        <v>397</v>
      </c>
      <c r="B181" s="43">
        <v>1561</v>
      </c>
      <c r="C181" s="43" t="s">
        <v>398</v>
      </c>
      <c r="D181" s="41" t="str">
        <f t="shared" si="2"/>
        <v>CG001561</v>
      </c>
    </row>
    <row r="182" spans="1:4" ht="17">
      <c r="A182" s="42" t="s">
        <v>399</v>
      </c>
      <c r="B182" s="43">
        <v>1563</v>
      </c>
      <c r="C182" s="43" t="s">
        <v>400</v>
      </c>
      <c r="D182" s="41" t="str">
        <f t="shared" si="2"/>
        <v>CG001563</v>
      </c>
    </row>
    <row r="183" spans="1:4" ht="17">
      <c r="A183" s="42" t="s">
        <v>401</v>
      </c>
      <c r="B183" s="43">
        <v>1565</v>
      </c>
      <c r="C183" s="43" t="s">
        <v>402</v>
      </c>
      <c r="D183" s="41" t="str">
        <f t="shared" si="2"/>
        <v>CG001565</v>
      </c>
    </row>
    <row r="184" spans="1:4" ht="17">
      <c r="A184" s="42" t="s">
        <v>403</v>
      </c>
      <c r="B184" s="43">
        <v>1566</v>
      </c>
      <c r="C184" s="43" t="s">
        <v>404</v>
      </c>
      <c r="D184" s="41" t="str">
        <f t="shared" si="2"/>
        <v>CG001566</v>
      </c>
    </row>
    <row r="185" spans="1:4" ht="17">
      <c r="A185" s="42" t="s">
        <v>405</v>
      </c>
      <c r="B185" s="43">
        <v>1570</v>
      </c>
      <c r="C185" s="43" t="s">
        <v>406</v>
      </c>
      <c r="D185" s="41" t="str">
        <f t="shared" si="2"/>
        <v>CG001570</v>
      </c>
    </row>
    <row r="186" spans="1:4" ht="17">
      <c r="A186" s="42" t="s">
        <v>407</v>
      </c>
      <c r="B186" s="43">
        <v>1572</v>
      </c>
      <c r="C186" s="43" t="s">
        <v>408</v>
      </c>
      <c r="D186" s="41" t="str">
        <f t="shared" si="2"/>
        <v>CG001572</v>
      </c>
    </row>
    <row r="187" spans="1:4" ht="17">
      <c r="A187" s="42" t="s">
        <v>409</v>
      </c>
      <c r="B187" s="43">
        <v>1573</v>
      </c>
      <c r="C187" s="43" t="s">
        <v>410</v>
      </c>
      <c r="D187" s="41" t="str">
        <f t="shared" si="2"/>
        <v>CG001573</v>
      </c>
    </row>
    <row r="188" spans="1:4" ht="17">
      <c r="A188" s="42" t="s">
        <v>411</v>
      </c>
      <c r="B188" s="43">
        <v>1574</v>
      </c>
      <c r="C188" s="43" t="s">
        <v>412</v>
      </c>
      <c r="D188" s="41" t="str">
        <f t="shared" si="2"/>
        <v>CG001574</v>
      </c>
    </row>
    <row r="189" spans="1:4" ht="17">
      <c r="A189" s="42" t="s">
        <v>413</v>
      </c>
      <c r="B189" s="43">
        <v>1575</v>
      </c>
      <c r="C189" s="43" t="s">
        <v>414</v>
      </c>
      <c r="D189" s="41" t="str">
        <f t="shared" si="2"/>
        <v>CG001575</v>
      </c>
    </row>
    <row r="190" spans="1:4" ht="17">
      <c r="A190" s="42" t="s">
        <v>415</v>
      </c>
      <c r="B190" s="43">
        <v>1576</v>
      </c>
      <c r="C190" s="43" t="s">
        <v>416</v>
      </c>
      <c r="D190" s="41" t="str">
        <f t="shared" si="2"/>
        <v>CG001576</v>
      </c>
    </row>
    <row r="191" spans="1:4" ht="17">
      <c r="A191" s="42" t="s">
        <v>417</v>
      </c>
      <c r="B191" s="43">
        <v>1577</v>
      </c>
      <c r="C191" s="43" t="s">
        <v>418</v>
      </c>
      <c r="D191" s="41" t="str">
        <f t="shared" si="2"/>
        <v>CG001577</v>
      </c>
    </row>
    <row r="192" spans="1:4" ht="17">
      <c r="A192" s="42" t="s">
        <v>419</v>
      </c>
      <c r="B192" s="43">
        <v>1579</v>
      </c>
      <c r="C192" s="43" t="s">
        <v>420</v>
      </c>
      <c r="D192" s="41" t="str">
        <f t="shared" si="2"/>
        <v>CG001579</v>
      </c>
    </row>
    <row r="193" spans="1:4" ht="17">
      <c r="A193" s="42" t="s">
        <v>421</v>
      </c>
      <c r="B193" s="43">
        <v>1591</v>
      </c>
      <c r="C193" s="43" t="s">
        <v>422</v>
      </c>
      <c r="D193" s="41" t="str">
        <f t="shared" si="2"/>
        <v>CG001591</v>
      </c>
    </row>
    <row r="194" spans="1:4" ht="17">
      <c r="A194" s="42" t="s">
        <v>423</v>
      </c>
      <c r="B194" s="43">
        <v>1592</v>
      </c>
      <c r="C194" s="43" t="s">
        <v>424</v>
      </c>
      <c r="D194" s="41" t="str">
        <f t="shared" si="2"/>
        <v>CG001592</v>
      </c>
    </row>
    <row r="195" spans="1:4" ht="17">
      <c r="A195" s="42" t="s">
        <v>425</v>
      </c>
      <c r="B195" s="43">
        <v>1596</v>
      </c>
      <c r="C195" s="43" t="s">
        <v>426</v>
      </c>
      <c r="D195" s="41" t="str">
        <f t="shared" ref="D195:D258" si="3">TEXT(A195,"00000000")</f>
        <v>CG001596</v>
      </c>
    </row>
    <row r="196" spans="1:4" ht="17">
      <c r="A196" s="42" t="s">
        <v>427</v>
      </c>
      <c r="B196" s="43">
        <v>1597</v>
      </c>
      <c r="C196" s="43" t="s">
        <v>428</v>
      </c>
      <c r="D196" s="41" t="str">
        <f t="shared" si="3"/>
        <v>CG001597</v>
      </c>
    </row>
    <row r="197" spans="1:4" ht="17">
      <c r="A197" s="42" t="s">
        <v>429</v>
      </c>
      <c r="B197" s="43">
        <v>1598</v>
      </c>
      <c r="C197" s="43" t="s">
        <v>430</v>
      </c>
      <c r="D197" s="41" t="str">
        <f t="shared" si="3"/>
        <v>CG001598</v>
      </c>
    </row>
    <row r="198" spans="1:4" ht="17">
      <c r="A198" s="42" t="s">
        <v>431</v>
      </c>
      <c r="B198" s="43">
        <v>1602</v>
      </c>
      <c r="C198" s="43" t="s">
        <v>432</v>
      </c>
      <c r="D198" s="41" t="str">
        <f t="shared" si="3"/>
        <v>CG001602</v>
      </c>
    </row>
    <row r="199" spans="1:4" ht="17">
      <c r="A199" s="42" t="s">
        <v>433</v>
      </c>
      <c r="B199" s="43">
        <v>1607</v>
      </c>
      <c r="C199" s="43" t="s">
        <v>148</v>
      </c>
      <c r="D199" s="41" t="str">
        <f t="shared" si="3"/>
        <v>CG001607</v>
      </c>
    </row>
    <row r="200" spans="1:4" ht="17">
      <c r="A200" s="42" t="s">
        <v>434</v>
      </c>
      <c r="B200" s="43">
        <v>1608</v>
      </c>
      <c r="C200" s="43" t="s">
        <v>435</v>
      </c>
      <c r="D200" s="41" t="str">
        <f t="shared" si="3"/>
        <v>CG001608</v>
      </c>
    </row>
    <row r="201" spans="1:4" ht="17">
      <c r="A201" s="42" t="s">
        <v>436</v>
      </c>
      <c r="B201" s="43">
        <v>1610</v>
      </c>
      <c r="C201" s="43" t="s">
        <v>437</v>
      </c>
      <c r="D201" s="41" t="str">
        <f t="shared" si="3"/>
        <v>CG001610</v>
      </c>
    </row>
    <row r="202" spans="1:4" ht="17">
      <c r="A202" s="42" t="s">
        <v>438</v>
      </c>
      <c r="B202" s="43">
        <v>1612</v>
      </c>
      <c r="C202" s="43" t="s">
        <v>439</v>
      </c>
      <c r="D202" s="41" t="str">
        <f t="shared" si="3"/>
        <v>CG001612</v>
      </c>
    </row>
    <row r="203" spans="1:4" ht="17">
      <c r="A203" s="42" t="s">
        <v>440</v>
      </c>
      <c r="B203" s="43">
        <v>1613</v>
      </c>
      <c r="C203" s="43" t="s">
        <v>441</v>
      </c>
      <c r="D203" s="41" t="str">
        <f t="shared" si="3"/>
        <v>CG001613</v>
      </c>
    </row>
    <row r="204" spans="1:4" ht="17">
      <c r="A204" s="42" t="s">
        <v>442</v>
      </c>
      <c r="B204" s="43">
        <v>1614</v>
      </c>
      <c r="C204" s="43" t="s">
        <v>443</v>
      </c>
      <c r="D204" s="41" t="str">
        <f t="shared" si="3"/>
        <v>CG001614</v>
      </c>
    </row>
    <row r="205" spans="1:4" ht="17">
      <c r="A205" s="42" t="s">
        <v>444</v>
      </c>
      <c r="B205" s="43">
        <v>1615</v>
      </c>
      <c r="C205" s="43" t="s">
        <v>445</v>
      </c>
      <c r="D205" s="41" t="str">
        <f t="shared" si="3"/>
        <v>CG001615</v>
      </c>
    </row>
    <row r="206" spans="1:4" ht="17">
      <c r="A206" s="42" t="s">
        <v>446</v>
      </c>
      <c r="B206" s="43">
        <v>1616</v>
      </c>
      <c r="C206" s="43" t="s">
        <v>447</v>
      </c>
      <c r="D206" s="41" t="str">
        <f t="shared" si="3"/>
        <v>CG001616</v>
      </c>
    </row>
    <row r="207" spans="1:4" ht="17">
      <c r="A207" s="42" t="s">
        <v>448</v>
      </c>
      <c r="B207" s="43">
        <v>1617</v>
      </c>
      <c r="C207" s="43" t="s">
        <v>449</v>
      </c>
      <c r="D207" s="41" t="str">
        <f t="shared" si="3"/>
        <v>CG001617</v>
      </c>
    </row>
    <row r="208" spans="1:4" ht="17">
      <c r="A208" s="42" t="s">
        <v>450</v>
      </c>
      <c r="B208" s="43">
        <v>1619</v>
      </c>
      <c r="C208" s="43" t="s">
        <v>451</v>
      </c>
      <c r="D208" s="41" t="str">
        <f t="shared" si="3"/>
        <v>CG001619</v>
      </c>
    </row>
    <row r="209" spans="1:4" ht="17">
      <c r="A209" s="42" t="s">
        <v>452</v>
      </c>
      <c r="B209" s="43">
        <v>1623</v>
      </c>
      <c r="C209" s="43" t="s">
        <v>453</v>
      </c>
      <c r="D209" s="41" t="str">
        <f t="shared" si="3"/>
        <v>CG001623</v>
      </c>
    </row>
    <row r="210" spans="1:4" ht="17">
      <c r="A210" s="42" t="s">
        <v>454</v>
      </c>
      <c r="B210" s="43">
        <v>1624</v>
      </c>
      <c r="C210" s="43" t="s">
        <v>455</v>
      </c>
      <c r="D210" s="41" t="str">
        <f t="shared" si="3"/>
        <v>CG001624</v>
      </c>
    </row>
    <row r="211" spans="1:4" ht="17">
      <c r="A211" s="42" t="s">
        <v>456</v>
      </c>
      <c r="B211" s="43">
        <v>1626</v>
      </c>
      <c r="C211" s="43" t="s">
        <v>457</v>
      </c>
      <c r="D211" s="41" t="str">
        <f t="shared" si="3"/>
        <v>CG001626</v>
      </c>
    </row>
    <row r="212" spans="1:4" ht="17">
      <c r="A212" s="42" t="s">
        <v>458</v>
      </c>
      <c r="B212" s="43">
        <v>1627</v>
      </c>
      <c r="C212" s="43" t="s">
        <v>459</v>
      </c>
      <c r="D212" s="41" t="str">
        <f t="shared" si="3"/>
        <v>CG001627</v>
      </c>
    </row>
    <row r="213" spans="1:4" ht="17">
      <c r="A213" s="42" t="s">
        <v>460</v>
      </c>
      <c r="B213" s="43">
        <v>1628</v>
      </c>
      <c r="C213" s="43" t="s">
        <v>461</v>
      </c>
      <c r="D213" s="41" t="str">
        <f t="shared" si="3"/>
        <v>CG001628</v>
      </c>
    </row>
    <row r="214" spans="1:4" ht="17">
      <c r="A214" s="42" t="s">
        <v>462</v>
      </c>
      <c r="B214" s="43">
        <v>1629</v>
      </c>
      <c r="C214" s="43" t="s">
        <v>463</v>
      </c>
      <c r="D214" s="41" t="str">
        <f t="shared" si="3"/>
        <v>CG001629</v>
      </c>
    </row>
    <row r="215" spans="1:4" ht="17">
      <c r="A215" s="42" t="s">
        <v>464</v>
      </c>
      <c r="B215" s="43">
        <v>1630</v>
      </c>
      <c r="C215" s="43" t="s">
        <v>465</v>
      </c>
      <c r="D215" s="41" t="str">
        <f t="shared" si="3"/>
        <v>CG001630</v>
      </c>
    </row>
    <row r="216" spans="1:4" ht="17">
      <c r="A216" s="42" t="s">
        <v>466</v>
      </c>
      <c r="B216" s="43">
        <v>1631</v>
      </c>
      <c r="C216" s="43" t="s">
        <v>467</v>
      </c>
      <c r="D216" s="41" t="str">
        <f t="shared" si="3"/>
        <v>CG001631</v>
      </c>
    </row>
    <row r="217" spans="1:4" ht="17">
      <c r="A217" s="42" t="s">
        <v>468</v>
      </c>
      <c r="B217" s="43">
        <v>1632</v>
      </c>
      <c r="C217" s="43" t="s">
        <v>469</v>
      </c>
      <c r="D217" s="41" t="str">
        <f t="shared" si="3"/>
        <v>CG001632</v>
      </c>
    </row>
    <row r="218" spans="1:4" ht="17">
      <c r="A218" s="42" t="s">
        <v>470</v>
      </c>
      <c r="B218" s="43">
        <v>1634</v>
      </c>
      <c r="C218" s="43" t="s">
        <v>471</v>
      </c>
      <c r="D218" s="41" t="str">
        <f t="shared" si="3"/>
        <v>CG001634</v>
      </c>
    </row>
    <row r="219" spans="1:4" ht="17">
      <c r="A219" s="42" t="s">
        <v>472</v>
      </c>
      <c r="B219" s="43">
        <v>1637</v>
      </c>
      <c r="C219" s="43" t="s">
        <v>473</v>
      </c>
      <c r="D219" s="41" t="str">
        <f t="shared" si="3"/>
        <v>CG001637</v>
      </c>
    </row>
    <row r="220" spans="1:4" ht="17">
      <c r="A220" s="42" t="s">
        <v>474</v>
      </c>
      <c r="B220" s="43">
        <v>1645</v>
      </c>
      <c r="C220" s="43" t="s">
        <v>475</v>
      </c>
      <c r="D220" s="41" t="str">
        <f t="shared" si="3"/>
        <v>CG001645</v>
      </c>
    </row>
    <row r="221" spans="1:4" ht="17">
      <c r="A221" s="42" t="s">
        <v>476</v>
      </c>
      <c r="B221" s="43">
        <v>1648</v>
      </c>
      <c r="C221" s="43" t="s">
        <v>477</v>
      </c>
      <c r="D221" s="41" t="str">
        <f t="shared" si="3"/>
        <v>CG001648</v>
      </c>
    </row>
    <row r="222" spans="1:4" ht="17">
      <c r="A222" s="42" t="s">
        <v>478</v>
      </c>
      <c r="B222" s="43">
        <v>1652</v>
      </c>
      <c r="C222" s="43" t="s">
        <v>479</v>
      </c>
      <c r="D222" s="41" t="str">
        <f t="shared" si="3"/>
        <v>CG001652</v>
      </c>
    </row>
    <row r="223" spans="1:4" ht="17">
      <c r="A223" s="42" t="s">
        <v>480</v>
      </c>
      <c r="B223" s="43">
        <v>1653</v>
      </c>
      <c r="C223" s="43" t="s">
        <v>481</v>
      </c>
      <c r="D223" s="41" t="str">
        <f t="shared" si="3"/>
        <v>CG001653</v>
      </c>
    </row>
    <row r="224" spans="1:4" ht="17">
      <c r="A224" s="42" t="s">
        <v>482</v>
      </c>
      <c r="B224" s="43">
        <v>1654</v>
      </c>
      <c r="C224" s="43" t="s">
        <v>483</v>
      </c>
      <c r="D224" s="41" t="str">
        <f t="shared" si="3"/>
        <v>CG001654</v>
      </c>
    </row>
    <row r="225" spans="1:4" ht="17">
      <c r="A225" s="42" t="s">
        <v>484</v>
      </c>
      <c r="B225" s="43">
        <v>1655</v>
      </c>
      <c r="C225" s="43" t="s">
        <v>485</v>
      </c>
      <c r="D225" s="41" t="str">
        <f t="shared" si="3"/>
        <v>CG001655</v>
      </c>
    </row>
    <row r="226" spans="1:4" ht="17">
      <c r="A226" s="42" t="s">
        <v>486</v>
      </c>
      <c r="B226" s="43">
        <v>1656</v>
      </c>
      <c r="C226" s="43" t="s">
        <v>487</v>
      </c>
      <c r="D226" s="41" t="str">
        <f t="shared" si="3"/>
        <v>CG001656</v>
      </c>
    </row>
    <row r="227" spans="1:4" ht="17">
      <c r="A227" s="42" t="s">
        <v>488</v>
      </c>
      <c r="B227" s="43">
        <v>1664</v>
      </c>
      <c r="C227" s="43" t="s">
        <v>114</v>
      </c>
      <c r="D227" s="41" t="str">
        <f t="shared" si="3"/>
        <v>CG001664</v>
      </c>
    </row>
    <row r="228" spans="1:4" ht="17">
      <c r="A228" s="42" t="s">
        <v>489</v>
      </c>
      <c r="B228" s="43">
        <v>1665</v>
      </c>
      <c r="C228" s="43" t="s">
        <v>490</v>
      </c>
      <c r="D228" s="41" t="str">
        <f t="shared" si="3"/>
        <v>CG001665</v>
      </c>
    </row>
    <row r="229" spans="1:4" ht="17">
      <c r="A229" s="42" t="s">
        <v>491</v>
      </c>
      <c r="B229" s="43">
        <v>1669</v>
      </c>
      <c r="C229" s="43" t="s">
        <v>492</v>
      </c>
      <c r="D229" s="41" t="str">
        <f t="shared" si="3"/>
        <v>CG001669</v>
      </c>
    </row>
    <row r="230" spans="1:4" ht="17">
      <c r="A230" s="42" t="s">
        <v>493</v>
      </c>
      <c r="B230" s="43">
        <v>1670</v>
      </c>
      <c r="C230" s="43" t="s">
        <v>494</v>
      </c>
      <c r="D230" s="41" t="str">
        <f t="shared" si="3"/>
        <v>CG001670</v>
      </c>
    </row>
    <row r="231" spans="1:4" ht="17">
      <c r="A231" s="42" t="s">
        <v>495</v>
      </c>
      <c r="B231" s="43">
        <v>1671</v>
      </c>
      <c r="C231" s="43" t="s">
        <v>496</v>
      </c>
      <c r="D231" s="41" t="str">
        <f t="shared" si="3"/>
        <v>CG001671</v>
      </c>
    </row>
    <row r="232" spans="1:4" ht="17">
      <c r="A232" s="42" t="s">
        <v>497</v>
      </c>
      <c r="B232" s="43">
        <v>1672</v>
      </c>
      <c r="C232" s="43" t="s">
        <v>498</v>
      </c>
      <c r="D232" s="41" t="str">
        <f t="shared" si="3"/>
        <v>CG001672</v>
      </c>
    </row>
    <row r="233" spans="1:4" ht="17">
      <c r="A233" s="42" t="s">
        <v>499</v>
      </c>
      <c r="B233" s="43">
        <v>1675</v>
      </c>
      <c r="C233" s="43" t="s">
        <v>500</v>
      </c>
      <c r="D233" s="41" t="str">
        <f t="shared" si="3"/>
        <v>CG001675</v>
      </c>
    </row>
    <row r="234" spans="1:4" ht="17">
      <c r="A234" s="42" t="s">
        <v>501</v>
      </c>
      <c r="B234" s="43">
        <v>1678</v>
      </c>
      <c r="C234" s="43" t="s">
        <v>502</v>
      </c>
      <c r="D234" s="41" t="str">
        <f t="shared" si="3"/>
        <v>CG001678</v>
      </c>
    </row>
    <row r="235" spans="1:4" ht="17">
      <c r="A235" s="42" t="s">
        <v>503</v>
      </c>
      <c r="B235" s="43">
        <v>1679</v>
      </c>
      <c r="C235" s="43" t="s">
        <v>504</v>
      </c>
      <c r="D235" s="41" t="str">
        <f t="shared" si="3"/>
        <v>CG001679</v>
      </c>
    </row>
    <row r="236" spans="1:4" ht="17">
      <c r="A236" s="42" t="s">
        <v>505</v>
      </c>
      <c r="B236" s="43">
        <v>1680</v>
      </c>
      <c r="C236" s="43" t="s">
        <v>506</v>
      </c>
      <c r="D236" s="41" t="str">
        <f t="shared" si="3"/>
        <v>CG001680</v>
      </c>
    </row>
    <row r="237" spans="1:4" ht="17">
      <c r="A237" s="42" t="s">
        <v>507</v>
      </c>
      <c r="B237" s="43">
        <v>1683</v>
      </c>
      <c r="C237" s="43" t="s">
        <v>508</v>
      </c>
      <c r="D237" s="41" t="str">
        <f t="shared" si="3"/>
        <v>CG001683</v>
      </c>
    </row>
    <row r="238" spans="1:4" ht="17">
      <c r="A238" s="42" t="s">
        <v>509</v>
      </c>
      <c r="B238" s="43">
        <v>1684</v>
      </c>
      <c r="C238" s="43" t="s">
        <v>510</v>
      </c>
      <c r="D238" s="41" t="str">
        <f t="shared" si="3"/>
        <v>CG001684</v>
      </c>
    </row>
    <row r="239" spans="1:4" ht="17">
      <c r="A239" s="42" t="s">
        <v>511</v>
      </c>
      <c r="B239" s="43">
        <v>1685</v>
      </c>
      <c r="C239" s="43" t="s">
        <v>512</v>
      </c>
      <c r="D239" s="41" t="str">
        <f t="shared" si="3"/>
        <v>CG001685</v>
      </c>
    </row>
    <row r="240" spans="1:4" ht="17">
      <c r="A240" s="42" t="s">
        <v>513</v>
      </c>
      <c r="B240" s="43">
        <v>1686</v>
      </c>
      <c r="C240" s="43" t="s">
        <v>514</v>
      </c>
      <c r="D240" s="41" t="str">
        <f t="shared" si="3"/>
        <v>CG001686</v>
      </c>
    </row>
    <row r="241" spans="1:4" ht="17">
      <c r="A241" s="42" t="s">
        <v>515</v>
      </c>
      <c r="B241" s="43">
        <v>1687</v>
      </c>
      <c r="C241" s="43" t="s">
        <v>516</v>
      </c>
      <c r="D241" s="41" t="str">
        <f t="shared" si="3"/>
        <v>CG001687</v>
      </c>
    </row>
    <row r="242" spans="1:4" ht="17">
      <c r="A242" s="42" t="s">
        <v>517</v>
      </c>
      <c r="B242" s="43">
        <v>1688</v>
      </c>
      <c r="C242" s="43" t="s">
        <v>518</v>
      </c>
      <c r="D242" s="41" t="str">
        <f t="shared" si="3"/>
        <v>CG001688</v>
      </c>
    </row>
    <row r="243" spans="1:4" ht="17">
      <c r="A243" s="42" t="s">
        <v>519</v>
      </c>
      <c r="B243" s="43">
        <v>1691</v>
      </c>
      <c r="C243" s="43" t="s">
        <v>520</v>
      </c>
      <c r="D243" s="41" t="str">
        <f t="shared" si="3"/>
        <v>CG001691</v>
      </c>
    </row>
    <row r="244" spans="1:4" ht="17">
      <c r="A244" s="42" t="s">
        <v>521</v>
      </c>
      <c r="B244" s="43">
        <v>1692</v>
      </c>
      <c r="C244" s="43" t="s">
        <v>522</v>
      </c>
      <c r="D244" s="41" t="str">
        <f t="shared" si="3"/>
        <v>CG001692</v>
      </c>
    </row>
    <row r="245" spans="1:4" ht="17">
      <c r="A245" s="42" t="s">
        <v>523</v>
      </c>
      <c r="B245" s="43">
        <v>1694</v>
      </c>
      <c r="C245" s="43" t="s">
        <v>524</v>
      </c>
      <c r="D245" s="41" t="str">
        <f t="shared" si="3"/>
        <v>CG001694</v>
      </c>
    </row>
    <row r="246" spans="1:4" ht="17">
      <c r="A246" s="42" t="s">
        <v>525</v>
      </c>
      <c r="B246" s="43">
        <v>1695</v>
      </c>
      <c r="C246" s="43" t="s">
        <v>526</v>
      </c>
      <c r="D246" s="41" t="str">
        <f t="shared" si="3"/>
        <v>CG001695</v>
      </c>
    </row>
    <row r="247" spans="1:4" ht="17">
      <c r="A247" s="42" t="s">
        <v>527</v>
      </c>
      <c r="B247" s="43">
        <v>1698</v>
      </c>
      <c r="C247" s="43" t="s">
        <v>528</v>
      </c>
      <c r="D247" s="41" t="str">
        <f t="shared" si="3"/>
        <v>CG001698</v>
      </c>
    </row>
    <row r="248" spans="1:4" ht="17">
      <c r="A248" s="42" t="s">
        <v>529</v>
      </c>
      <c r="B248" s="43">
        <v>1700</v>
      </c>
      <c r="C248" s="43" t="s">
        <v>530</v>
      </c>
      <c r="D248" s="41" t="str">
        <f t="shared" si="3"/>
        <v>CG001700</v>
      </c>
    </row>
    <row r="249" spans="1:4" ht="17">
      <c r="A249" s="42" t="s">
        <v>531</v>
      </c>
      <c r="B249" s="43">
        <v>1702</v>
      </c>
      <c r="C249" s="43" t="s">
        <v>532</v>
      </c>
      <c r="D249" s="41" t="str">
        <f t="shared" si="3"/>
        <v>CG001702</v>
      </c>
    </row>
    <row r="250" spans="1:4" ht="17">
      <c r="A250" s="42" t="s">
        <v>533</v>
      </c>
      <c r="B250" s="43">
        <v>1703</v>
      </c>
      <c r="C250" s="43" t="s">
        <v>534</v>
      </c>
      <c r="D250" s="41" t="str">
        <f t="shared" si="3"/>
        <v>CG001703</v>
      </c>
    </row>
    <row r="251" spans="1:4" ht="17">
      <c r="A251" s="42" t="s">
        <v>535</v>
      </c>
      <c r="B251" s="43">
        <v>1704</v>
      </c>
      <c r="C251" s="43" t="s">
        <v>536</v>
      </c>
      <c r="D251" s="41" t="str">
        <f t="shared" si="3"/>
        <v>CG001704</v>
      </c>
    </row>
    <row r="252" spans="1:4" ht="17">
      <c r="A252" s="42" t="s">
        <v>537</v>
      </c>
      <c r="B252" s="43">
        <v>1709</v>
      </c>
      <c r="C252" s="43" t="s">
        <v>538</v>
      </c>
      <c r="D252" s="41" t="str">
        <f t="shared" si="3"/>
        <v>CG001709</v>
      </c>
    </row>
    <row r="253" spans="1:4" ht="17">
      <c r="A253" s="42" t="s">
        <v>539</v>
      </c>
      <c r="B253" s="43">
        <v>1712</v>
      </c>
      <c r="C253" s="43" t="s">
        <v>540</v>
      </c>
      <c r="D253" s="41" t="str">
        <f t="shared" si="3"/>
        <v>CG001712</v>
      </c>
    </row>
    <row r="254" spans="1:4" ht="17">
      <c r="A254" s="42" t="s">
        <v>541</v>
      </c>
      <c r="B254" s="43">
        <v>1713</v>
      </c>
      <c r="C254" s="43" t="s">
        <v>542</v>
      </c>
      <c r="D254" s="41" t="str">
        <f t="shared" si="3"/>
        <v>CG001713</v>
      </c>
    </row>
    <row r="255" spans="1:4" ht="17">
      <c r="A255" s="42" t="s">
        <v>543</v>
      </c>
      <c r="B255" s="43">
        <v>1715</v>
      </c>
      <c r="C255" s="43" t="s">
        <v>544</v>
      </c>
      <c r="D255" s="41" t="str">
        <f t="shared" si="3"/>
        <v>CG001715</v>
      </c>
    </row>
    <row r="256" spans="1:4" ht="17">
      <c r="A256" s="42" t="s">
        <v>545</v>
      </c>
      <c r="B256" s="43">
        <v>1716</v>
      </c>
      <c r="C256" s="43" t="s">
        <v>546</v>
      </c>
      <c r="D256" s="41" t="str">
        <f t="shared" si="3"/>
        <v>CG001716</v>
      </c>
    </row>
    <row r="257" spans="1:4" ht="17">
      <c r="A257" s="42" t="s">
        <v>547</v>
      </c>
      <c r="B257" s="43">
        <v>1719</v>
      </c>
      <c r="C257" s="43" t="s">
        <v>548</v>
      </c>
      <c r="D257" s="41" t="str">
        <f t="shared" si="3"/>
        <v>CG001719</v>
      </c>
    </row>
    <row r="258" spans="1:4" ht="17">
      <c r="A258" s="42" t="s">
        <v>549</v>
      </c>
      <c r="B258" s="43">
        <v>1720</v>
      </c>
      <c r="C258" s="43" t="s">
        <v>550</v>
      </c>
      <c r="D258" s="41" t="str">
        <f t="shared" si="3"/>
        <v>CG001720</v>
      </c>
    </row>
    <row r="259" spans="1:4" ht="17">
      <c r="A259" s="42" t="s">
        <v>551</v>
      </c>
      <c r="B259" s="43">
        <v>1723</v>
      </c>
      <c r="C259" s="43" t="s">
        <v>552</v>
      </c>
      <c r="D259" s="41" t="str">
        <f t="shared" ref="D259:D322" si="4">TEXT(A259,"00000000")</f>
        <v>CG001723</v>
      </c>
    </row>
    <row r="260" spans="1:4" ht="17">
      <c r="A260" s="42" t="s">
        <v>553</v>
      </c>
      <c r="B260" s="43">
        <v>1726</v>
      </c>
      <c r="C260" s="43" t="s">
        <v>554</v>
      </c>
      <c r="D260" s="41" t="str">
        <f t="shared" si="4"/>
        <v>CG001726</v>
      </c>
    </row>
    <row r="261" spans="1:4" ht="17">
      <c r="A261" s="42" t="s">
        <v>555</v>
      </c>
      <c r="B261" s="43">
        <v>1728</v>
      </c>
      <c r="C261" s="43" t="s">
        <v>556</v>
      </c>
      <c r="D261" s="41" t="str">
        <f t="shared" si="4"/>
        <v>CG001728</v>
      </c>
    </row>
    <row r="262" spans="1:4" ht="17">
      <c r="A262" s="42" t="s">
        <v>557</v>
      </c>
      <c r="B262" s="43">
        <v>1732</v>
      </c>
      <c r="C262" s="43" t="s">
        <v>346</v>
      </c>
      <c r="D262" s="41" t="str">
        <f t="shared" si="4"/>
        <v>CG001732</v>
      </c>
    </row>
    <row r="263" spans="1:4" ht="17">
      <c r="A263" s="42" t="s">
        <v>558</v>
      </c>
      <c r="B263" s="43">
        <v>1736</v>
      </c>
      <c r="C263" s="43" t="s">
        <v>559</v>
      </c>
      <c r="D263" s="41" t="str">
        <f t="shared" si="4"/>
        <v>CG001736</v>
      </c>
    </row>
    <row r="264" spans="1:4" ht="17">
      <c r="A264" s="42" t="s">
        <v>560</v>
      </c>
      <c r="B264" s="43">
        <v>1737</v>
      </c>
      <c r="C264" s="43" t="s">
        <v>561</v>
      </c>
      <c r="D264" s="41" t="str">
        <f t="shared" si="4"/>
        <v>CG001737</v>
      </c>
    </row>
    <row r="265" spans="1:4" ht="17">
      <c r="A265" s="42" t="s">
        <v>562</v>
      </c>
      <c r="B265" s="43">
        <v>1738</v>
      </c>
      <c r="C265" s="43" t="s">
        <v>563</v>
      </c>
      <c r="D265" s="41" t="str">
        <f t="shared" si="4"/>
        <v>CG001738</v>
      </c>
    </row>
    <row r="266" spans="1:4" ht="17">
      <c r="A266" s="42" t="s">
        <v>564</v>
      </c>
      <c r="B266" s="43">
        <v>1740</v>
      </c>
      <c r="C266" s="43" t="s">
        <v>565</v>
      </c>
      <c r="D266" s="41" t="str">
        <f t="shared" si="4"/>
        <v>CG001740</v>
      </c>
    </row>
    <row r="267" spans="1:4" ht="17">
      <c r="A267" s="42" t="s">
        <v>566</v>
      </c>
      <c r="B267" s="43">
        <v>1741</v>
      </c>
      <c r="C267" s="43" t="s">
        <v>567</v>
      </c>
      <c r="D267" s="41" t="str">
        <f t="shared" si="4"/>
        <v>CG001741</v>
      </c>
    </row>
    <row r="268" spans="1:4" ht="17">
      <c r="A268" s="42" t="s">
        <v>568</v>
      </c>
      <c r="B268" s="43">
        <v>1742</v>
      </c>
      <c r="C268" s="43" t="s">
        <v>569</v>
      </c>
      <c r="D268" s="41" t="str">
        <f t="shared" si="4"/>
        <v>CG001742</v>
      </c>
    </row>
    <row r="269" spans="1:4" ht="17">
      <c r="A269" s="42" t="s">
        <v>570</v>
      </c>
      <c r="B269" s="43">
        <v>1745</v>
      </c>
      <c r="C269" s="43" t="s">
        <v>571</v>
      </c>
      <c r="D269" s="41" t="str">
        <f t="shared" si="4"/>
        <v>CG001745</v>
      </c>
    </row>
    <row r="270" spans="1:4" ht="17">
      <c r="A270" s="42" t="s">
        <v>572</v>
      </c>
      <c r="B270" s="43">
        <v>1746</v>
      </c>
      <c r="C270" s="43" t="s">
        <v>573</v>
      </c>
      <c r="D270" s="41" t="str">
        <f t="shared" si="4"/>
        <v>CG001746</v>
      </c>
    </row>
    <row r="271" spans="1:4" ht="17">
      <c r="A271" s="42" t="s">
        <v>574</v>
      </c>
      <c r="B271" s="43">
        <v>1748</v>
      </c>
      <c r="C271" s="43" t="s">
        <v>575</v>
      </c>
      <c r="D271" s="41" t="str">
        <f t="shared" si="4"/>
        <v>CG001748</v>
      </c>
    </row>
    <row r="272" spans="1:4" ht="17">
      <c r="A272" s="42" t="s">
        <v>576</v>
      </c>
      <c r="B272" s="43">
        <v>1781</v>
      </c>
      <c r="C272" s="43" t="s">
        <v>577</v>
      </c>
      <c r="D272" s="41" t="str">
        <f t="shared" si="4"/>
        <v>CG001781</v>
      </c>
    </row>
    <row r="273" spans="1:4" ht="17">
      <c r="A273" s="42" t="s">
        <v>578</v>
      </c>
      <c r="B273" s="43">
        <v>1786</v>
      </c>
      <c r="C273" s="43" t="s">
        <v>579</v>
      </c>
      <c r="D273" s="41" t="str">
        <f t="shared" si="4"/>
        <v>CG001786</v>
      </c>
    </row>
    <row r="274" spans="1:4" ht="17">
      <c r="A274" s="42" t="s">
        <v>580</v>
      </c>
      <c r="B274" s="43">
        <v>1790</v>
      </c>
      <c r="C274" s="43" t="s">
        <v>581</v>
      </c>
      <c r="D274" s="41" t="str">
        <f t="shared" si="4"/>
        <v>CG001790</v>
      </c>
    </row>
    <row r="275" spans="1:4" ht="17">
      <c r="A275" s="42" t="s">
        <v>582</v>
      </c>
      <c r="B275" s="43">
        <v>1792</v>
      </c>
      <c r="C275" s="43" t="s">
        <v>583</v>
      </c>
      <c r="D275" s="41" t="str">
        <f t="shared" si="4"/>
        <v>CG001792</v>
      </c>
    </row>
    <row r="276" spans="1:4" ht="17">
      <c r="A276" s="42" t="s">
        <v>584</v>
      </c>
      <c r="B276" s="43">
        <v>1794</v>
      </c>
      <c r="C276" s="43" t="s">
        <v>585</v>
      </c>
      <c r="D276" s="41" t="str">
        <f t="shared" si="4"/>
        <v>CG001794</v>
      </c>
    </row>
    <row r="277" spans="1:4" ht="17">
      <c r="A277" s="42" t="s">
        <v>586</v>
      </c>
      <c r="B277" s="43">
        <v>1796</v>
      </c>
      <c r="C277" s="43" t="s">
        <v>587</v>
      </c>
      <c r="D277" s="41" t="str">
        <f t="shared" si="4"/>
        <v>CG001796</v>
      </c>
    </row>
    <row r="278" spans="1:4" ht="17">
      <c r="A278" s="42" t="s">
        <v>588</v>
      </c>
      <c r="B278" s="43">
        <v>1799</v>
      </c>
      <c r="C278" s="43" t="s">
        <v>589</v>
      </c>
      <c r="D278" s="41" t="str">
        <f t="shared" si="4"/>
        <v>CG001799</v>
      </c>
    </row>
    <row r="279" spans="1:4" ht="17">
      <c r="A279" s="42" t="s">
        <v>590</v>
      </c>
      <c r="B279" s="43">
        <v>1800</v>
      </c>
      <c r="C279" s="43" t="s">
        <v>591</v>
      </c>
      <c r="D279" s="41" t="str">
        <f t="shared" si="4"/>
        <v>CG001800</v>
      </c>
    </row>
    <row r="280" spans="1:4" ht="17">
      <c r="A280" s="42" t="s">
        <v>592</v>
      </c>
      <c r="B280" s="43">
        <v>1802</v>
      </c>
      <c r="C280" s="43" t="s">
        <v>593</v>
      </c>
      <c r="D280" s="41" t="str">
        <f t="shared" si="4"/>
        <v>CG001802</v>
      </c>
    </row>
    <row r="281" spans="1:4" ht="17">
      <c r="A281" s="42" t="s">
        <v>594</v>
      </c>
      <c r="B281" s="43">
        <v>1803</v>
      </c>
      <c r="C281" s="43" t="s">
        <v>595</v>
      </c>
      <c r="D281" s="41" t="str">
        <f t="shared" si="4"/>
        <v>CG001803</v>
      </c>
    </row>
    <row r="282" spans="1:4" ht="17">
      <c r="A282" s="42" t="s">
        <v>596</v>
      </c>
      <c r="B282" s="43">
        <v>1805</v>
      </c>
      <c r="C282" s="43" t="s">
        <v>597</v>
      </c>
      <c r="D282" s="41" t="str">
        <f t="shared" si="4"/>
        <v>CG001805</v>
      </c>
    </row>
    <row r="283" spans="1:4" ht="17">
      <c r="A283" s="42" t="s">
        <v>598</v>
      </c>
      <c r="B283" s="43">
        <v>1806</v>
      </c>
      <c r="C283" s="43" t="s">
        <v>599</v>
      </c>
      <c r="D283" s="41" t="str">
        <f t="shared" si="4"/>
        <v>CG001806</v>
      </c>
    </row>
    <row r="284" spans="1:4" ht="17">
      <c r="A284" s="42" t="s">
        <v>600</v>
      </c>
      <c r="B284" s="43">
        <v>1807</v>
      </c>
      <c r="C284" s="43" t="s">
        <v>601</v>
      </c>
      <c r="D284" s="41" t="str">
        <f t="shared" si="4"/>
        <v>CG001807</v>
      </c>
    </row>
    <row r="285" spans="1:4" ht="17">
      <c r="A285" s="42" t="s">
        <v>602</v>
      </c>
      <c r="B285" s="43">
        <v>1808</v>
      </c>
      <c r="C285" s="43" t="s">
        <v>603</v>
      </c>
      <c r="D285" s="41" t="str">
        <f t="shared" si="4"/>
        <v>CG001808</v>
      </c>
    </row>
    <row r="286" spans="1:4" ht="17">
      <c r="A286" s="42" t="s">
        <v>604</v>
      </c>
      <c r="B286" s="43">
        <v>1810</v>
      </c>
      <c r="C286" s="43" t="s">
        <v>605</v>
      </c>
      <c r="D286" s="41" t="str">
        <f t="shared" si="4"/>
        <v>CG001810</v>
      </c>
    </row>
    <row r="287" spans="1:4" ht="17">
      <c r="A287" s="42" t="s">
        <v>606</v>
      </c>
      <c r="B287" s="43">
        <v>1813</v>
      </c>
      <c r="C287" s="43" t="s">
        <v>607</v>
      </c>
      <c r="D287" s="41" t="str">
        <f t="shared" si="4"/>
        <v>CG001813</v>
      </c>
    </row>
    <row r="288" spans="1:4" ht="17">
      <c r="A288" s="42" t="s">
        <v>608</v>
      </c>
      <c r="B288" s="43">
        <v>1817</v>
      </c>
      <c r="C288" s="43" t="s">
        <v>609</v>
      </c>
      <c r="D288" s="41" t="str">
        <f t="shared" si="4"/>
        <v>CG001817</v>
      </c>
    </row>
    <row r="289" spans="1:4" ht="17">
      <c r="A289" s="42" t="s">
        <v>610</v>
      </c>
      <c r="B289" s="43">
        <v>1822</v>
      </c>
      <c r="C289" s="43" t="s">
        <v>611</v>
      </c>
      <c r="D289" s="41" t="str">
        <f t="shared" si="4"/>
        <v>CG001822</v>
      </c>
    </row>
    <row r="290" spans="1:4" ht="17">
      <c r="A290" s="42" t="s">
        <v>612</v>
      </c>
      <c r="B290" s="43">
        <v>1823</v>
      </c>
      <c r="C290" s="43" t="s">
        <v>613</v>
      </c>
      <c r="D290" s="41" t="str">
        <f t="shared" si="4"/>
        <v>CG001823</v>
      </c>
    </row>
    <row r="291" spans="1:4" ht="17">
      <c r="A291" s="42" t="s">
        <v>614</v>
      </c>
      <c r="B291" s="43">
        <v>1832</v>
      </c>
      <c r="C291" s="43" t="s">
        <v>615</v>
      </c>
      <c r="D291" s="41" t="str">
        <f t="shared" si="4"/>
        <v>CG001832</v>
      </c>
    </row>
    <row r="292" spans="1:4" ht="17">
      <c r="A292" s="42" t="s">
        <v>616</v>
      </c>
      <c r="B292" s="43">
        <v>1839</v>
      </c>
      <c r="C292" s="43" t="s">
        <v>617</v>
      </c>
      <c r="D292" s="41" t="str">
        <f t="shared" si="4"/>
        <v>CG001839</v>
      </c>
    </row>
    <row r="293" spans="1:4" ht="17">
      <c r="A293" s="42" t="s">
        <v>618</v>
      </c>
      <c r="B293" s="43">
        <v>1840</v>
      </c>
      <c r="C293" s="43" t="s">
        <v>619</v>
      </c>
      <c r="D293" s="41" t="str">
        <f t="shared" si="4"/>
        <v>CG001840</v>
      </c>
    </row>
    <row r="294" spans="1:4" ht="17">
      <c r="A294" s="42" t="s">
        <v>620</v>
      </c>
      <c r="B294" s="43">
        <v>1845</v>
      </c>
      <c r="C294" s="43" t="s">
        <v>621</v>
      </c>
      <c r="D294" s="41" t="str">
        <f t="shared" si="4"/>
        <v>CG001845</v>
      </c>
    </row>
    <row r="295" spans="1:4" ht="17">
      <c r="A295" s="42" t="s">
        <v>622</v>
      </c>
      <c r="B295" s="43">
        <v>1846</v>
      </c>
      <c r="C295" s="43" t="s">
        <v>623</v>
      </c>
      <c r="D295" s="41" t="str">
        <f t="shared" si="4"/>
        <v>CG001846</v>
      </c>
    </row>
    <row r="296" spans="1:4" ht="17">
      <c r="A296" s="42" t="s">
        <v>624</v>
      </c>
      <c r="B296" s="43">
        <v>1847</v>
      </c>
      <c r="C296" s="43" t="s">
        <v>625</v>
      </c>
      <c r="D296" s="41" t="str">
        <f t="shared" si="4"/>
        <v>CG001847</v>
      </c>
    </row>
    <row r="297" spans="1:4" ht="17">
      <c r="A297" s="42" t="s">
        <v>626</v>
      </c>
      <c r="B297" s="43">
        <v>1848</v>
      </c>
      <c r="C297" s="43" t="s">
        <v>627</v>
      </c>
      <c r="D297" s="41" t="str">
        <f t="shared" si="4"/>
        <v>CG001848</v>
      </c>
    </row>
    <row r="298" spans="1:4" ht="17">
      <c r="A298" s="42" t="s">
        <v>628</v>
      </c>
      <c r="B298" s="43">
        <v>1849</v>
      </c>
      <c r="C298" s="43" t="s">
        <v>629</v>
      </c>
      <c r="D298" s="41" t="str">
        <f t="shared" si="4"/>
        <v>CG001849</v>
      </c>
    </row>
    <row r="299" spans="1:4" ht="17">
      <c r="A299" s="42" t="s">
        <v>630</v>
      </c>
      <c r="B299" s="43">
        <v>1850</v>
      </c>
      <c r="C299" s="43" t="s">
        <v>631</v>
      </c>
      <c r="D299" s="41" t="str">
        <f t="shared" si="4"/>
        <v>CG001850</v>
      </c>
    </row>
    <row r="300" spans="1:4" ht="17">
      <c r="A300" s="42" t="s">
        <v>632</v>
      </c>
      <c r="B300" s="43">
        <v>1851</v>
      </c>
      <c r="C300" s="43" t="s">
        <v>633</v>
      </c>
      <c r="D300" s="41" t="str">
        <f t="shared" si="4"/>
        <v>CG001851</v>
      </c>
    </row>
    <row r="301" spans="1:4" ht="17">
      <c r="A301" s="42" t="s">
        <v>634</v>
      </c>
      <c r="B301" s="43">
        <v>1852</v>
      </c>
      <c r="C301" s="43" t="s">
        <v>635</v>
      </c>
      <c r="D301" s="41" t="str">
        <f t="shared" si="4"/>
        <v>CG001852</v>
      </c>
    </row>
    <row r="302" spans="1:4" ht="17">
      <c r="A302" s="42" t="s">
        <v>636</v>
      </c>
      <c r="B302" s="43">
        <v>1853</v>
      </c>
      <c r="C302" s="43" t="s">
        <v>637</v>
      </c>
      <c r="D302" s="41" t="str">
        <f t="shared" si="4"/>
        <v>CG001853</v>
      </c>
    </row>
    <row r="303" spans="1:4" ht="17">
      <c r="A303" s="42" t="s">
        <v>638</v>
      </c>
      <c r="B303" s="43">
        <v>1854</v>
      </c>
      <c r="C303" s="43" t="s">
        <v>639</v>
      </c>
      <c r="D303" s="41" t="str">
        <f t="shared" si="4"/>
        <v>CG001854</v>
      </c>
    </row>
    <row r="304" spans="1:4" ht="17">
      <c r="A304" s="42" t="s">
        <v>640</v>
      </c>
      <c r="B304" s="43">
        <v>1855</v>
      </c>
      <c r="C304" s="43" t="s">
        <v>641</v>
      </c>
      <c r="D304" s="41" t="str">
        <f t="shared" si="4"/>
        <v>CG001855</v>
      </c>
    </row>
    <row r="305" spans="1:4" ht="17">
      <c r="A305" s="42" t="s">
        <v>642</v>
      </c>
      <c r="B305" s="43">
        <v>1863</v>
      </c>
      <c r="C305" s="43" t="s">
        <v>643</v>
      </c>
      <c r="D305" s="41" t="str">
        <f t="shared" si="4"/>
        <v>CG001863</v>
      </c>
    </row>
    <row r="306" spans="1:4" ht="17">
      <c r="A306" s="42" t="s">
        <v>644</v>
      </c>
      <c r="B306" s="43">
        <v>1866</v>
      </c>
      <c r="C306" s="43" t="s">
        <v>645</v>
      </c>
      <c r="D306" s="41" t="str">
        <f t="shared" si="4"/>
        <v>CG001866</v>
      </c>
    </row>
    <row r="307" spans="1:4" ht="17">
      <c r="A307" s="42" t="s">
        <v>646</v>
      </c>
      <c r="B307" s="43">
        <v>1869</v>
      </c>
      <c r="C307" s="43" t="s">
        <v>647</v>
      </c>
      <c r="D307" s="41" t="str">
        <f t="shared" si="4"/>
        <v>CG001869</v>
      </c>
    </row>
    <row r="308" spans="1:4" ht="17">
      <c r="A308" s="42" t="s">
        <v>648</v>
      </c>
      <c r="B308" s="43">
        <v>1873</v>
      </c>
      <c r="C308" s="43" t="s">
        <v>649</v>
      </c>
      <c r="D308" s="41" t="str">
        <f t="shared" si="4"/>
        <v>CG001873</v>
      </c>
    </row>
    <row r="309" spans="1:4" ht="17">
      <c r="A309" s="42" t="s">
        <v>650</v>
      </c>
      <c r="B309" s="43">
        <v>1874</v>
      </c>
      <c r="C309" s="43" t="s">
        <v>651</v>
      </c>
      <c r="D309" s="41" t="str">
        <f t="shared" si="4"/>
        <v>CG001874</v>
      </c>
    </row>
    <row r="310" spans="1:4" ht="17">
      <c r="A310" s="42" t="s">
        <v>652</v>
      </c>
      <c r="B310" s="43">
        <v>1875</v>
      </c>
      <c r="C310" s="43" t="s">
        <v>653</v>
      </c>
      <c r="D310" s="41" t="str">
        <f t="shared" si="4"/>
        <v>CG001875</v>
      </c>
    </row>
    <row r="311" spans="1:4" ht="17">
      <c r="A311" s="42" t="s">
        <v>654</v>
      </c>
      <c r="B311" s="43">
        <v>1878</v>
      </c>
      <c r="C311" s="43" t="s">
        <v>655</v>
      </c>
      <c r="D311" s="41" t="str">
        <f t="shared" si="4"/>
        <v>CG001878</v>
      </c>
    </row>
    <row r="312" spans="1:4" ht="17">
      <c r="A312" s="42" t="s">
        <v>656</v>
      </c>
      <c r="B312" s="43">
        <v>1881</v>
      </c>
      <c r="C312" s="43" t="s">
        <v>657</v>
      </c>
      <c r="D312" s="41" t="str">
        <f t="shared" si="4"/>
        <v>CG001881</v>
      </c>
    </row>
    <row r="313" spans="1:4" ht="17">
      <c r="A313" s="42" t="s">
        <v>658</v>
      </c>
      <c r="B313" s="43">
        <v>1882</v>
      </c>
      <c r="C313" s="43" t="s">
        <v>659</v>
      </c>
      <c r="D313" s="41" t="str">
        <f t="shared" si="4"/>
        <v>CG001882</v>
      </c>
    </row>
    <row r="314" spans="1:4" ht="17">
      <c r="A314" s="42" t="s">
        <v>660</v>
      </c>
      <c r="B314" s="43">
        <v>1883</v>
      </c>
      <c r="C314" s="43" t="s">
        <v>661</v>
      </c>
      <c r="D314" s="41" t="str">
        <f t="shared" si="4"/>
        <v>CG001883</v>
      </c>
    </row>
    <row r="315" spans="1:4" ht="17">
      <c r="A315" s="42" t="s">
        <v>662</v>
      </c>
      <c r="B315" s="43">
        <v>1885</v>
      </c>
      <c r="C315" s="43" t="s">
        <v>663</v>
      </c>
      <c r="D315" s="41" t="str">
        <f t="shared" si="4"/>
        <v>CG001885</v>
      </c>
    </row>
    <row r="316" spans="1:4" ht="17">
      <c r="A316" s="42" t="s">
        <v>664</v>
      </c>
      <c r="B316" s="43">
        <v>1886</v>
      </c>
      <c r="C316" s="43" t="s">
        <v>665</v>
      </c>
      <c r="D316" s="41" t="str">
        <f t="shared" si="4"/>
        <v>CG001886</v>
      </c>
    </row>
    <row r="317" spans="1:4" ht="17">
      <c r="A317" s="42" t="s">
        <v>666</v>
      </c>
      <c r="B317" s="43">
        <v>1900</v>
      </c>
      <c r="C317" s="43" t="s">
        <v>667</v>
      </c>
      <c r="D317" s="41" t="str">
        <f t="shared" si="4"/>
        <v>CG001900</v>
      </c>
    </row>
    <row r="318" spans="1:4" ht="17">
      <c r="A318" s="42" t="s">
        <v>668</v>
      </c>
      <c r="B318" s="43">
        <v>1901</v>
      </c>
      <c r="C318" s="43" t="s">
        <v>669</v>
      </c>
      <c r="D318" s="41" t="str">
        <f t="shared" si="4"/>
        <v>CG001901</v>
      </c>
    </row>
    <row r="319" spans="1:4" ht="17">
      <c r="A319" s="42" t="s">
        <v>670</v>
      </c>
      <c r="B319" s="43">
        <v>1903</v>
      </c>
      <c r="C319" s="43" t="s">
        <v>671</v>
      </c>
      <c r="D319" s="41" t="str">
        <f t="shared" si="4"/>
        <v>CG001903</v>
      </c>
    </row>
    <row r="320" spans="1:4" ht="17">
      <c r="A320" s="42" t="s">
        <v>672</v>
      </c>
      <c r="B320" s="43">
        <v>1904</v>
      </c>
      <c r="C320" s="43" t="s">
        <v>673</v>
      </c>
      <c r="D320" s="41" t="str">
        <f t="shared" si="4"/>
        <v>CG001904</v>
      </c>
    </row>
    <row r="321" spans="1:4" ht="17">
      <c r="A321" s="42" t="s">
        <v>674</v>
      </c>
      <c r="B321" s="43">
        <v>1907</v>
      </c>
      <c r="C321" s="43" t="s">
        <v>675</v>
      </c>
      <c r="D321" s="41" t="str">
        <f t="shared" si="4"/>
        <v>CG001907</v>
      </c>
    </row>
    <row r="322" spans="1:4" ht="17">
      <c r="A322" s="42" t="s">
        <v>676</v>
      </c>
      <c r="B322" s="43">
        <v>1908</v>
      </c>
      <c r="C322" s="43" t="s">
        <v>677</v>
      </c>
      <c r="D322" s="41" t="str">
        <f t="shared" si="4"/>
        <v>CG001908</v>
      </c>
    </row>
    <row r="323" spans="1:4" ht="17">
      <c r="A323" s="42" t="s">
        <v>678</v>
      </c>
      <c r="B323" s="43">
        <v>1911</v>
      </c>
      <c r="C323" s="43" t="s">
        <v>679</v>
      </c>
      <c r="D323" s="41" t="str">
        <f t="shared" ref="D323:D386" si="5">TEXT(A323,"00000000")</f>
        <v>CG001911</v>
      </c>
    </row>
    <row r="324" spans="1:4" ht="17">
      <c r="A324" s="42" t="s">
        <v>680</v>
      </c>
      <c r="B324" s="43">
        <v>1913</v>
      </c>
      <c r="C324" s="43" t="s">
        <v>681</v>
      </c>
      <c r="D324" s="41" t="str">
        <f t="shared" si="5"/>
        <v>CG001913</v>
      </c>
    </row>
    <row r="325" spans="1:4" ht="17">
      <c r="A325" s="42" t="s">
        <v>682</v>
      </c>
      <c r="B325" s="43">
        <v>1919</v>
      </c>
      <c r="C325" s="43" t="s">
        <v>683</v>
      </c>
      <c r="D325" s="41" t="str">
        <f t="shared" si="5"/>
        <v>CG001919</v>
      </c>
    </row>
    <row r="326" spans="1:4" ht="17">
      <c r="A326" s="42" t="s">
        <v>684</v>
      </c>
      <c r="B326" s="43">
        <v>1920</v>
      </c>
      <c r="C326" s="43" t="s">
        <v>685</v>
      </c>
      <c r="D326" s="41" t="str">
        <f t="shared" si="5"/>
        <v>CG001920</v>
      </c>
    </row>
    <row r="327" spans="1:4" ht="17">
      <c r="A327" s="42" t="s">
        <v>686</v>
      </c>
      <c r="B327" s="43">
        <v>1921</v>
      </c>
      <c r="C327" s="43" t="s">
        <v>687</v>
      </c>
      <c r="D327" s="41" t="str">
        <f t="shared" si="5"/>
        <v>CG001921</v>
      </c>
    </row>
    <row r="328" spans="1:4" ht="17">
      <c r="A328" s="42" t="s">
        <v>688</v>
      </c>
      <c r="B328" s="43">
        <v>1922</v>
      </c>
      <c r="C328" s="43" t="s">
        <v>689</v>
      </c>
      <c r="D328" s="41" t="str">
        <f t="shared" si="5"/>
        <v>CG001922</v>
      </c>
    </row>
    <row r="329" spans="1:4" ht="17">
      <c r="A329" s="42" t="s">
        <v>690</v>
      </c>
      <c r="B329" s="43">
        <v>1925</v>
      </c>
      <c r="C329" s="43" t="s">
        <v>691</v>
      </c>
      <c r="D329" s="41" t="str">
        <f t="shared" si="5"/>
        <v>CG001925</v>
      </c>
    </row>
    <row r="330" spans="1:4" ht="17">
      <c r="A330" s="42" t="s">
        <v>692</v>
      </c>
      <c r="B330" s="43">
        <v>1927</v>
      </c>
      <c r="C330" s="43" t="s">
        <v>693</v>
      </c>
      <c r="D330" s="41" t="str">
        <f t="shared" si="5"/>
        <v>CG001927</v>
      </c>
    </row>
    <row r="331" spans="1:4" ht="17">
      <c r="A331" s="42" t="s">
        <v>694</v>
      </c>
      <c r="B331" s="43">
        <v>1929</v>
      </c>
      <c r="C331" s="43" t="s">
        <v>607</v>
      </c>
      <c r="D331" s="41" t="str">
        <f t="shared" si="5"/>
        <v>CG001929</v>
      </c>
    </row>
    <row r="332" spans="1:4" ht="17">
      <c r="A332" s="42" t="s">
        <v>695</v>
      </c>
      <c r="B332" s="43">
        <v>1933</v>
      </c>
      <c r="C332" s="43" t="s">
        <v>696</v>
      </c>
      <c r="D332" s="41" t="str">
        <f t="shared" si="5"/>
        <v>CG001933</v>
      </c>
    </row>
    <row r="333" spans="1:4" ht="17">
      <c r="A333" s="42" t="s">
        <v>697</v>
      </c>
      <c r="B333" s="43">
        <v>1934</v>
      </c>
      <c r="C333" s="43" t="s">
        <v>698</v>
      </c>
      <c r="D333" s="41" t="str">
        <f t="shared" si="5"/>
        <v>CG001934</v>
      </c>
    </row>
    <row r="334" spans="1:4" ht="17">
      <c r="A334" s="42" t="s">
        <v>699</v>
      </c>
      <c r="B334" s="43">
        <v>1936</v>
      </c>
      <c r="C334" s="43" t="s">
        <v>700</v>
      </c>
      <c r="D334" s="41" t="str">
        <f t="shared" si="5"/>
        <v>CG001936</v>
      </c>
    </row>
    <row r="335" spans="1:4" ht="17">
      <c r="A335" s="42" t="s">
        <v>701</v>
      </c>
      <c r="B335" s="43">
        <v>1937</v>
      </c>
      <c r="C335" s="43" t="s">
        <v>702</v>
      </c>
      <c r="D335" s="41" t="str">
        <f t="shared" si="5"/>
        <v>CG001937</v>
      </c>
    </row>
    <row r="336" spans="1:4" ht="17">
      <c r="A336" s="42" t="s">
        <v>703</v>
      </c>
      <c r="B336" s="43">
        <v>1940</v>
      </c>
      <c r="C336" s="43" t="s">
        <v>704</v>
      </c>
      <c r="D336" s="41" t="str">
        <f t="shared" si="5"/>
        <v>CG001940</v>
      </c>
    </row>
    <row r="337" spans="1:4" ht="17">
      <c r="A337" s="42" t="s">
        <v>705</v>
      </c>
      <c r="B337" s="43">
        <v>1941</v>
      </c>
      <c r="C337" s="43" t="s">
        <v>706</v>
      </c>
      <c r="D337" s="41" t="str">
        <f t="shared" si="5"/>
        <v>CG001941</v>
      </c>
    </row>
    <row r="338" spans="1:4" ht="17">
      <c r="A338" s="42" t="s">
        <v>707</v>
      </c>
      <c r="B338" s="43">
        <v>1945</v>
      </c>
      <c r="C338" s="43" t="s">
        <v>708</v>
      </c>
      <c r="D338" s="41" t="str">
        <f t="shared" si="5"/>
        <v>CG001945</v>
      </c>
    </row>
    <row r="339" spans="1:4" ht="17">
      <c r="A339" s="42" t="s">
        <v>709</v>
      </c>
      <c r="B339" s="43">
        <v>1946</v>
      </c>
      <c r="C339" s="43" t="s">
        <v>710</v>
      </c>
      <c r="D339" s="41" t="str">
        <f t="shared" si="5"/>
        <v>CG001946</v>
      </c>
    </row>
    <row r="340" spans="1:4" ht="17">
      <c r="A340" s="42" t="s">
        <v>711</v>
      </c>
      <c r="B340" s="43">
        <v>1951</v>
      </c>
      <c r="C340" s="43" t="s">
        <v>712</v>
      </c>
      <c r="D340" s="41" t="str">
        <f t="shared" si="5"/>
        <v>CG001951</v>
      </c>
    </row>
    <row r="341" spans="1:4" ht="17">
      <c r="A341" s="42" t="s">
        <v>713</v>
      </c>
      <c r="B341" s="43">
        <v>1952</v>
      </c>
      <c r="C341" s="43" t="s">
        <v>714</v>
      </c>
      <c r="D341" s="41" t="str">
        <f t="shared" si="5"/>
        <v>CG001952</v>
      </c>
    </row>
    <row r="342" spans="1:4" ht="17">
      <c r="A342" s="42" t="s">
        <v>715</v>
      </c>
      <c r="B342" s="43">
        <v>1955</v>
      </c>
      <c r="C342" s="43" t="s">
        <v>716</v>
      </c>
      <c r="D342" s="41" t="str">
        <f t="shared" si="5"/>
        <v>CG001955</v>
      </c>
    </row>
    <row r="343" spans="1:4" ht="17">
      <c r="A343" s="42" t="s">
        <v>717</v>
      </c>
      <c r="B343" s="43">
        <v>1956</v>
      </c>
      <c r="C343" s="43" t="s">
        <v>718</v>
      </c>
      <c r="D343" s="41" t="str">
        <f t="shared" si="5"/>
        <v>CG001956</v>
      </c>
    </row>
    <row r="344" spans="1:4" ht="17">
      <c r="A344" s="42" t="s">
        <v>719</v>
      </c>
      <c r="B344" s="43">
        <v>1958</v>
      </c>
      <c r="C344" s="43" t="s">
        <v>720</v>
      </c>
      <c r="D344" s="41" t="str">
        <f t="shared" si="5"/>
        <v>CG001958</v>
      </c>
    </row>
    <row r="345" spans="1:4" ht="17">
      <c r="A345" s="42" t="s">
        <v>721</v>
      </c>
      <c r="B345" s="43">
        <v>1960</v>
      </c>
      <c r="C345" s="43" t="s">
        <v>722</v>
      </c>
      <c r="D345" s="41" t="str">
        <f t="shared" si="5"/>
        <v>CG001960</v>
      </c>
    </row>
    <row r="346" spans="1:4" ht="17">
      <c r="A346" s="42" t="s">
        <v>723</v>
      </c>
      <c r="B346" s="43">
        <v>1962</v>
      </c>
      <c r="C346" s="43" t="s">
        <v>724</v>
      </c>
      <c r="D346" s="41" t="str">
        <f t="shared" si="5"/>
        <v>CG001962</v>
      </c>
    </row>
    <row r="347" spans="1:4" ht="17">
      <c r="A347" s="42" t="s">
        <v>725</v>
      </c>
      <c r="B347" s="43">
        <v>1964</v>
      </c>
      <c r="C347" s="43" t="s">
        <v>726</v>
      </c>
      <c r="D347" s="41" t="str">
        <f t="shared" si="5"/>
        <v>CG001964</v>
      </c>
    </row>
    <row r="348" spans="1:4" ht="17">
      <c r="A348" s="42" t="s">
        <v>727</v>
      </c>
      <c r="B348" s="43">
        <v>1971</v>
      </c>
      <c r="C348" s="43" t="s">
        <v>728</v>
      </c>
      <c r="D348" s="41" t="str">
        <f t="shared" si="5"/>
        <v>CG001971</v>
      </c>
    </row>
    <row r="349" spans="1:4" ht="17">
      <c r="A349" s="42" t="s">
        <v>729</v>
      </c>
      <c r="B349" s="43">
        <v>1976</v>
      </c>
      <c r="C349" s="43" t="s">
        <v>730</v>
      </c>
      <c r="D349" s="41" t="str">
        <f t="shared" si="5"/>
        <v>CG001976</v>
      </c>
    </row>
    <row r="350" spans="1:4" ht="17">
      <c r="A350" s="42" t="s">
        <v>731</v>
      </c>
      <c r="B350" s="43">
        <v>1978</v>
      </c>
      <c r="C350" s="43" t="s">
        <v>732</v>
      </c>
      <c r="D350" s="41" t="str">
        <f t="shared" si="5"/>
        <v>CG001978</v>
      </c>
    </row>
    <row r="351" spans="1:4" ht="17">
      <c r="A351" s="42" t="s">
        <v>733</v>
      </c>
      <c r="B351" s="43">
        <v>1983</v>
      </c>
      <c r="C351" s="43" t="s">
        <v>734</v>
      </c>
      <c r="D351" s="41" t="str">
        <f t="shared" si="5"/>
        <v>CG001983</v>
      </c>
    </row>
    <row r="352" spans="1:4" ht="17">
      <c r="A352" s="42" t="s">
        <v>735</v>
      </c>
      <c r="B352" s="43">
        <v>1985</v>
      </c>
      <c r="C352" s="43" t="s">
        <v>736</v>
      </c>
      <c r="D352" s="41" t="str">
        <f t="shared" si="5"/>
        <v>CG001985</v>
      </c>
    </row>
    <row r="353" spans="1:4" ht="17">
      <c r="A353" s="42" t="s">
        <v>737</v>
      </c>
      <c r="B353" s="43">
        <v>1989</v>
      </c>
      <c r="C353" s="43" t="s">
        <v>738</v>
      </c>
      <c r="D353" s="41" t="str">
        <f t="shared" si="5"/>
        <v>CG001989</v>
      </c>
    </row>
    <row r="354" spans="1:4" ht="17">
      <c r="A354" s="42" t="s">
        <v>739</v>
      </c>
      <c r="B354" s="43">
        <v>1992</v>
      </c>
      <c r="C354" s="43" t="s">
        <v>740</v>
      </c>
      <c r="D354" s="41" t="str">
        <f t="shared" si="5"/>
        <v>CG001992</v>
      </c>
    </row>
    <row r="355" spans="1:4" ht="17">
      <c r="A355" s="42" t="s">
        <v>741</v>
      </c>
      <c r="B355" s="43">
        <v>1993</v>
      </c>
      <c r="C355" s="43" t="s">
        <v>742</v>
      </c>
      <c r="D355" s="41" t="str">
        <f t="shared" si="5"/>
        <v>CG001993</v>
      </c>
    </row>
    <row r="356" spans="1:4" ht="17">
      <c r="A356" s="42" t="s">
        <v>743</v>
      </c>
      <c r="B356" s="43">
        <v>1994</v>
      </c>
      <c r="C356" s="43" t="s">
        <v>744</v>
      </c>
      <c r="D356" s="41" t="str">
        <f t="shared" si="5"/>
        <v>CG001994</v>
      </c>
    </row>
    <row r="357" spans="1:4" ht="17">
      <c r="A357" s="42" t="s">
        <v>745</v>
      </c>
      <c r="B357" s="43">
        <v>1995</v>
      </c>
      <c r="C357" s="43" t="s">
        <v>746</v>
      </c>
      <c r="D357" s="41" t="str">
        <f t="shared" si="5"/>
        <v>CG001995</v>
      </c>
    </row>
    <row r="358" spans="1:4" ht="17">
      <c r="A358" s="42" t="s">
        <v>747</v>
      </c>
      <c r="B358" s="43">
        <v>1996</v>
      </c>
      <c r="C358" s="43" t="s">
        <v>748</v>
      </c>
      <c r="D358" s="41" t="str">
        <f t="shared" si="5"/>
        <v>CG001996</v>
      </c>
    </row>
    <row r="359" spans="1:4" ht="17">
      <c r="A359" s="42" t="s">
        <v>749</v>
      </c>
      <c r="B359" s="43">
        <v>1999</v>
      </c>
      <c r="C359" s="43" t="s">
        <v>750</v>
      </c>
      <c r="D359" s="41" t="str">
        <f t="shared" si="5"/>
        <v>CG001999</v>
      </c>
    </row>
    <row r="360" spans="1:4" ht="17">
      <c r="A360" s="42" t="s">
        <v>751</v>
      </c>
      <c r="B360" s="43">
        <v>2004</v>
      </c>
      <c r="C360" s="43" t="s">
        <v>752</v>
      </c>
      <c r="D360" s="41" t="str">
        <f t="shared" si="5"/>
        <v>CG002004</v>
      </c>
    </row>
    <row r="361" spans="1:4" ht="17">
      <c r="A361" s="42" t="s">
        <v>753</v>
      </c>
      <c r="B361" s="43">
        <v>2006</v>
      </c>
      <c r="C361" s="43" t="s">
        <v>754</v>
      </c>
      <c r="D361" s="41" t="str">
        <f t="shared" si="5"/>
        <v>CG002006</v>
      </c>
    </row>
    <row r="362" spans="1:4" ht="17">
      <c r="A362" s="42" t="s">
        <v>755</v>
      </c>
      <c r="B362" s="43">
        <v>2008</v>
      </c>
      <c r="C362" s="43" t="s">
        <v>756</v>
      </c>
      <c r="D362" s="41" t="str">
        <f t="shared" si="5"/>
        <v>CG002008</v>
      </c>
    </row>
    <row r="363" spans="1:4" ht="17">
      <c r="A363" s="42" t="s">
        <v>757</v>
      </c>
      <c r="B363" s="43">
        <v>2013</v>
      </c>
      <c r="C363" s="43" t="s">
        <v>758</v>
      </c>
      <c r="D363" s="41" t="str">
        <f t="shared" si="5"/>
        <v>CG002013</v>
      </c>
    </row>
    <row r="364" spans="1:4" ht="17">
      <c r="A364" s="42" t="s">
        <v>759</v>
      </c>
      <c r="B364" s="43">
        <v>2014</v>
      </c>
      <c r="C364" s="43" t="s">
        <v>760</v>
      </c>
      <c r="D364" s="41" t="str">
        <f t="shared" si="5"/>
        <v>CG002014</v>
      </c>
    </row>
    <row r="365" spans="1:4" ht="17">
      <c r="A365" s="42" t="s">
        <v>761</v>
      </c>
      <c r="B365" s="43">
        <v>2019</v>
      </c>
      <c r="C365" s="43" t="s">
        <v>762</v>
      </c>
      <c r="D365" s="41" t="str">
        <f t="shared" si="5"/>
        <v>CG002019</v>
      </c>
    </row>
    <row r="366" spans="1:4" ht="17">
      <c r="A366" s="42" t="s">
        <v>763</v>
      </c>
      <c r="B366" s="43">
        <v>2021</v>
      </c>
      <c r="C366" s="43" t="s">
        <v>764</v>
      </c>
      <c r="D366" s="41" t="str">
        <f t="shared" si="5"/>
        <v>CG002021</v>
      </c>
    </row>
    <row r="367" spans="1:4" ht="17">
      <c r="A367" s="42" t="s">
        <v>765</v>
      </c>
      <c r="B367" s="43">
        <v>2028</v>
      </c>
      <c r="C367" s="43" t="s">
        <v>766</v>
      </c>
      <c r="D367" s="41" t="str">
        <f t="shared" si="5"/>
        <v>CG002028</v>
      </c>
    </row>
    <row r="368" spans="1:4" ht="17">
      <c r="A368" s="42" t="s">
        <v>767</v>
      </c>
      <c r="B368" s="43">
        <v>2029</v>
      </c>
      <c r="C368" s="43" t="s">
        <v>768</v>
      </c>
      <c r="D368" s="41" t="str">
        <f t="shared" si="5"/>
        <v>CG002029</v>
      </c>
    </row>
    <row r="369" spans="1:4" ht="17">
      <c r="A369" s="42" t="s">
        <v>769</v>
      </c>
      <c r="B369" s="43">
        <v>2032</v>
      </c>
      <c r="C369" s="43" t="s">
        <v>770</v>
      </c>
      <c r="D369" s="41" t="str">
        <f t="shared" si="5"/>
        <v>CG002032</v>
      </c>
    </row>
    <row r="370" spans="1:4" ht="17">
      <c r="A370" s="42" t="s">
        <v>771</v>
      </c>
      <c r="B370" s="43">
        <v>2040</v>
      </c>
      <c r="C370" s="43" t="s">
        <v>772</v>
      </c>
      <c r="D370" s="41" t="str">
        <f t="shared" si="5"/>
        <v>CG002040</v>
      </c>
    </row>
    <row r="371" spans="1:4" ht="17">
      <c r="A371" s="42" t="s">
        <v>773</v>
      </c>
      <c r="B371" s="43">
        <v>2047</v>
      </c>
      <c r="C371" s="43" t="s">
        <v>774</v>
      </c>
      <c r="D371" s="41" t="str">
        <f t="shared" si="5"/>
        <v>CG002047</v>
      </c>
    </row>
    <row r="372" spans="1:4" ht="17">
      <c r="A372" s="42" t="s">
        <v>775</v>
      </c>
      <c r="B372" s="43">
        <v>2048</v>
      </c>
      <c r="C372" s="43" t="s">
        <v>776</v>
      </c>
      <c r="D372" s="41" t="str">
        <f t="shared" si="5"/>
        <v>CG002048</v>
      </c>
    </row>
    <row r="373" spans="1:4" ht="17">
      <c r="A373" s="42" t="s">
        <v>777</v>
      </c>
      <c r="B373" s="43">
        <v>2052</v>
      </c>
      <c r="C373" s="43" t="s">
        <v>778</v>
      </c>
      <c r="D373" s="41" t="str">
        <f t="shared" si="5"/>
        <v>CG002052</v>
      </c>
    </row>
    <row r="374" spans="1:4" ht="17">
      <c r="A374" s="42" t="s">
        <v>779</v>
      </c>
      <c r="B374" s="43">
        <v>2054</v>
      </c>
      <c r="C374" s="43" t="s">
        <v>780</v>
      </c>
      <c r="D374" s="41" t="str">
        <f t="shared" si="5"/>
        <v>CG002054</v>
      </c>
    </row>
    <row r="375" spans="1:4" ht="17">
      <c r="A375" s="42" t="s">
        <v>781</v>
      </c>
      <c r="B375" s="43">
        <v>2058</v>
      </c>
      <c r="C375" s="43" t="s">
        <v>782</v>
      </c>
      <c r="D375" s="41" t="str">
        <f t="shared" si="5"/>
        <v>CG002058</v>
      </c>
    </row>
    <row r="376" spans="1:4" ht="17">
      <c r="A376" s="42" t="s">
        <v>783</v>
      </c>
      <c r="B376" s="43">
        <v>2067</v>
      </c>
      <c r="C376" s="43" t="s">
        <v>784</v>
      </c>
      <c r="D376" s="41" t="str">
        <f t="shared" si="5"/>
        <v>CG002067</v>
      </c>
    </row>
    <row r="377" spans="1:4" ht="17">
      <c r="A377" s="42" t="s">
        <v>785</v>
      </c>
      <c r="B377" s="43">
        <v>2068</v>
      </c>
      <c r="C377" s="43" t="s">
        <v>786</v>
      </c>
      <c r="D377" s="41" t="str">
        <f t="shared" si="5"/>
        <v>CG002068</v>
      </c>
    </row>
    <row r="378" spans="1:4" ht="17">
      <c r="A378" s="42" t="s">
        <v>787</v>
      </c>
      <c r="B378" s="43">
        <v>2069</v>
      </c>
      <c r="C378" s="43" t="s">
        <v>788</v>
      </c>
      <c r="D378" s="41" t="str">
        <f t="shared" si="5"/>
        <v>CG002069</v>
      </c>
    </row>
    <row r="379" spans="1:4" ht="17">
      <c r="A379" s="42" t="s">
        <v>789</v>
      </c>
      <c r="B379" s="43">
        <v>2070</v>
      </c>
      <c r="C379" s="43" t="s">
        <v>790</v>
      </c>
      <c r="D379" s="41" t="str">
        <f t="shared" si="5"/>
        <v>CG002070</v>
      </c>
    </row>
    <row r="380" spans="1:4" ht="17">
      <c r="A380" s="42" t="s">
        <v>791</v>
      </c>
      <c r="B380" s="43">
        <v>2071</v>
      </c>
      <c r="C380" s="43" t="s">
        <v>792</v>
      </c>
      <c r="D380" s="41" t="str">
        <f t="shared" si="5"/>
        <v>CG002071</v>
      </c>
    </row>
    <row r="381" spans="1:4" ht="17">
      <c r="A381" s="42" t="s">
        <v>793</v>
      </c>
      <c r="B381" s="43">
        <v>2072</v>
      </c>
      <c r="C381" s="43" t="s">
        <v>794</v>
      </c>
      <c r="D381" s="41" t="str">
        <f t="shared" si="5"/>
        <v>CG002072</v>
      </c>
    </row>
    <row r="382" spans="1:4" ht="17">
      <c r="A382" s="42" t="s">
        <v>795</v>
      </c>
      <c r="B382" s="43">
        <v>2073</v>
      </c>
      <c r="C382" s="43" t="s">
        <v>796</v>
      </c>
      <c r="D382" s="41" t="str">
        <f t="shared" si="5"/>
        <v>CG002073</v>
      </c>
    </row>
    <row r="383" spans="1:4" ht="17">
      <c r="A383" s="42" t="s">
        <v>797</v>
      </c>
      <c r="B383" s="43">
        <v>2076</v>
      </c>
      <c r="C383" s="43" t="s">
        <v>798</v>
      </c>
      <c r="D383" s="41" t="str">
        <f t="shared" si="5"/>
        <v>CG002076</v>
      </c>
    </row>
    <row r="384" spans="1:4" ht="17">
      <c r="A384" s="42" t="s">
        <v>799</v>
      </c>
      <c r="B384" s="43">
        <v>2090</v>
      </c>
      <c r="C384" s="43" t="s">
        <v>800</v>
      </c>
      <c r="D384" s="41" t="str">
        <f t="shared" si="5"/>
        <v>CG002090</v>
      </c>
    </row>
    <row r="385" spans="1:4" ht="17">
      <c r="A385" s="42" t="s">
        <v>801</v>
      </c>
      <c r="B385" s="43">
        <v>2094</v>
      </c>
      <c r="C385" s="43" t="s">
        <v>802</v>
      </c>
      <c r="D385" s="41" t="str">
        <f t="shared" si="5"/>
        <v>CG002094</v>
      </c>
    </row>
    <row r="386" spans="1:4" ht="17">
      <c r="A386" s="42" t="s">
        <v>803</v>
      </c>
      <c r="B386" s="43">
        <v>2097</v>
      </c>
      <c r="C386" s="43" t="s">
        <v>804</v>
      </c>
      <c r="D386" s="41" t="str">
        <f t="shared" si="5"/>
        <v>CG002097</v>
      </c>
    </row>
    <row r="387" spans="1:4" ht="17">
      <c r="A387" s="42" t="s">
        <v>805</v>
      </c>
      <c r="B387" s="43">
        <v>2105</v>
      </c>
      <c r="C387" s="43" t="s">
        <v>806</v>
      </c>
      <c r="D387" s="41" t="str">
        <f t="shared" ref="D387:D450" si="6">TEXT(A387,"00000000")</f>
        <v>CG002105</v>
      </c>
    </row>
    <row r="388" spans="1:4" ht="17">
      <c r="A388" s="42" t="s">
        <v>807</v>
      </c>
      <c r="B388" s="43">
        <v>2116</v>
      </c>
      <c r="C388" s="43" t="s">
        <v>808</v>
      </c>
      <c r="D388" s="41" t="str">
        <f t="shared" si="6"/>
        <v>CG002116</v>
      </c>
    </row>
    <row r="389" spans="1:4" ht="17">
      <c r="A389" s="42" t="s">
        <v>809</v>
      </c>
      <c r="B389" s="43">
        <v>2118</v>
      </c>
      <c r="C389" s="43" t="s">
        <v>810</v>
      </c>
      <c r="D389" s="41" t="str">
        <f t="shared" si="6"/>
        <v>CG002118</v>
      </c>
    </row>
    <row r="390" spans="1:4" ht="17">
      <c r="A390" s="42" t="s">
        <v>811</v>
      </c>
      <c r="B390" s="43">
        <v>2119</v>
      </c>
      <c r="C390" s="43" t="s">
        <v>812</v>
      </c>
      <c r="D390" s="41" t="str">
        <f t="shared" si="6"/>
        <v>CG002119</v>
      </c>
    </row>
    <row r="391" spans="1:4" ht="17">
      <c r="A391" s="42" t="s">
        <v>813</v>
      </c>
      <c r="B391" s="43">
        <v>2120</v>
      </c>
      <c r="C391" s="43" t="s">
        <v>814</v>
      </c>
      <c r="D391" s="41" t="str">
        <f t="shared" si="6"/>
        <v>CG002120</v>
      </c>
    </row>
    <row r="392" spans="1:4" ht="17">
      <c r="A392" s="42" t="s">
        <v>815</v>
      </c>
      <c r="B392" s="43">
        <v>2121</v>
      </c>
      <c r="C392" s="43" t="s">
        <v>816</v>
      </c>
      <c r="D392" s="41" t="str">
        <f t="shared" si="6"/>
        <v>CG002121</v>
      </c>
    </row>
    <row r="393" spans="1:4" ht="17">
      <c r="A393" s="42" t="s">
        <v>817</v>
      </c>
      <c r="B393" s="43">
        <v>2122</v>
      </c>
      <c r="C393" s="43" t="s">
        <v>818</v>
      </c>
      <c r="D393" s="41" t="str">
        <f t="shared" si="6"/>
        <v>CG002122</v>
      </c>
    </row>
    <row r="394" spans="1:4" ht="17">
      <c r="A394" s="42" t="s">
        <v>819</v>
      </c>
      <c r="B394" s="43">
        <v>2123</v>
      </c>
      <c r="C394" s="43" t="s">
        <v>820</v>
      </c>
      <c r="D394" s="41" t="str">
        <f t="shared" si="6"/>
        <v>CG002123</v>
      </c>
    </row>
    <row r="395" spans="1:4" ht="17">
      <c r="A395" s="42" t="s">
        <v>821</v>
      </c>
      <c r="B395" s="43">
        <v>2124</v>
      </c>
      <c r="C395" s="43" t="s">
        <v>822</v>
      </c>
      <c r="D395" s="41" t="str">
        <f t="shared" si="6"/>
        <v>CG002124</v>
      </c>
    </row>
    <row r="396" spans="1:4" ht="17">
      <c r="A396" s="42" t="s">
        <v>823</v>
      </c>
      <c r="B396" s="43">
        <v>2126</v>
      </c>
      <c r="C396" s="43" t="s">
        <v>824</v>
      </c>
      <c r="D396" s="41" t="str">
        <f t="shared" si="6"/>
        <v>CG002126</v>
      </c>
    </row>
    <row r="397" spans="1:4" ht="17">
      <c r="A397" s="42" t="s">
        <v>825</v>
      </c>
      <c r="B397" s="43">
        <v>2135</v>
      </c>
      <c r="C397" s="43" t="s">
        <v>826</v>
      </c>
      <c r="D397" s="41" t="str">
        <f t="shared" si="6"/>
        <v>CG002135</v>
      </c>
    </row>
    <row r="398" spans="1:4" ht="17">
      <c r="A398" s="42" t="s">
        <v>827</v>
      </c>
      <c r="B398" s="43">
        <v>2141</v>
      </c>
      <c r="C398" s="43" t="s">
        <v>828</v>
      </c>
      <c r="D398" s="41" t="str">
        <f t="shared" si="6"/>
        <v>CG002141</v>
      </c>
    </row>
    <row r="399" spans="1:4" ht="17">
      <c r="A399" s="42" t="s">
        <v>829</v>
      </c>
      <c r="B399" s="43">
        <v>2143</v>
      </c>
      <c r="C399" s="43" t="s">
        <v>830</v>
      </c>
      <c r="D399" s="41" t="str">
        <f t="shared" si="6"/>
        <v>CG002143</v>
      </c>
    </row>
    <row r="400" spans="1:4" ht="17">
      <c r="A400" s="42" t="s">
        <v>831</v>
      </c>
      <c r="B400" s="43">
        <v>2144</v>
      </c>
      <c r="C400" s="43" t="s">
        <v>832</v>
      </c>
      <c r="D400" s="41" t="str">
        <f t="shared" si="6"/>
        <v>CG002144</v>
      </c>
    </row>
    <row r="401" spans="1:4" ht="17">
      <c r="A401" s="42" t="s">
        <v>833</v>
      </c>
      <c r="B401" s="43">
        <v>2145</v>
      </c>
      <c r="C401" s="43" t="s">
        <v>834</v>
      </c>
      <c r="D401" s="41" t="str">
        <f t="shared" si="6"/>
        <v>CG002145</v>
      </c>
    </row>
    <row r="402" spans="1:4" ht="17">
      <c r="A402" s="42" t="s">
        <v>835</v>
      </c>
      <c r="B402" s="43">
        <v>2150</v>
      </c>
      <c r="C402" s="43" t="s">
        <v>836</v>
      </c>
      <c r="D402" s="41" t="str">
        <f t="shared" si="6"/>
        <v>CG002150</v>
      </c>
    </row>
    <row r="403" spans="1:4" ht="17">
      <c r="A403" s="42" t="s">
        <v>837</v>
      </c>
      <c r="B403" s="43">
        <v>2152</v>
      </c>
      <c r="C403" s="43" t="s">
        <v>838</v>
      </c>
      <c r="D403" s="41" t="str">
        <f t="shared" si="6"/>
        <v>CG002152</v>
      </c>
    </row>
    <row r="404" spans="1:4" ht="17">
      <c r="A404" s="42" t="s">
        <v>839</v>
      </c>
      <c r="B404" s="43">
        <v>2155</v>
      </c>
      <c r="C404" s="43" t="s">
        <v>840</v>
      </c>
      <c r="D404" s="41" t="str">
        <f t="shared" si="6"/>
        <v>CG002155</v>
      </c>
    </row>
    <row r="405" spans="1:4" ht="17">
      <c r="A405" s="42" t="s">
        <v>841</v>
      </c>
      <c r="B405" s="43">
        <v>2156</v>
      </c>
      <c r="C405" s="43" t="s">
        <v>842</v>
      </c>
      <c r="D405" s="41" t="str">
        <f t="shared" si="6"/>
        <v>CG002156</v>
      </c>
    </row>
    <row r="406" spans="1:4" ht="17">
      <c r="A406" s="42" t="s">
        <v>843</v>
      </c>
      <c r="B406" s="43">
        <v>2158</v>
      </c>
      <c r="C406" s="43" t="s">
        <v>844</v>
      </c>
      <c r="D406" s="41" t="str">
        <f t="shared" si="6"/>
        <v>CG002158</v>
      </c>
    </row>
    <row r="407" spans="1:4" ht="17">
      <c r="A407" s="42" t="s">
        <v>845</v>
      </c>
      <c r="B407" s="43">
        <v>2159</v>
      </c>
      <c r="C407" s="43" t="s">
        <v>846</v>
      </c>
      <c r="D407" s="41" t="str">
        <f t="shared" si="6"/>
        <v>CG002159</v>
      </c>
    </row>
    <row r="408" spans="1:4" ht="17">
      <c r="A408" s="42" t="s">
        <v>847</v>
      </c>
      <c r="B408" s="43">
        <v>2165</v>
      </c>
      <c r="C408" s="43" t="s">
        <v>848</v>
      </c>
      <c r="D408" s="41" t="str">
        <f t="shared" si="6"/>
        <v>CG002165</v>
      </c>
    </row>
    <row r="409" spans="1:4" ht="17">
      <c r="A409" s="42" t="s">
        <v>849</v>
      </c>
      <c r="B409" s="43">
        <v>2168</v>
      </c>
      <c r="C409" s="43" t="s">
        <v>850</v>
      </c>
      <c r="D409" s="41" t="str">
        <f t="shared" si="6"/>
        <v>CG002168</v>
      </c>
    </row>
    <row r="410" spans="1:4" ht="17">
      <c r="A410" s="42" t="s">
        <v>851</v>
      </c>
      <c r="B410" s="43">
        <v>2169</v>
      </c>
      <c r="C410" s="43" t="s">
        <v>607</v>
      </c>
      <c r="D410" s="41" t="str">
        <f t="shared" si="6"/>
        <v>CG002169</v>
      </c>
    </row>
    <row r="411" spans="1:4" ht="17">
      <c r="A411" s="42" t="s">
        <v>852</v>
      </c>
      <c r="B411" s="43">
        <v>2171</v>
      </c>
      <c r="C411" s="43" t="s">
        <v>853</v>
      </c>
      <c r="D411" s="41" t="str">
        <f t="shared" si="6"/>
        <v>CG002171</v>
      </c>
    </row>
    <row r="412" spans="1:4" ht="17">
      <c r="A412" s="42" t="s">
        <v>854</v>
      </c>
      <c r="B412" s="43">
        <v>2172</v>
      </c>
      <c r="C412" s="43" t="s">
        <v>855</v>
      </c>
      <c r="D412" s="41" t="str">
        <f t="shared" si="6"/>
        <v>CG002172</v>
      </c>
    </row>
    <row r="413" spans="1:4" ht="17">
      <c r="A413" s="42" t="s">
        <v>856</v>
      </c>
      <c r="B413" s="43">
        <v>2174</v>
      </c>
      <c r="C413" s="43" t="s">
        <v>857</v>
      </c>
      <c r="D413" s="41" t="str">
        <f t="shared" si="6"/>
        <v>CG002174</v>
      </c>
    </row>
    <row r="414" spans="1:4" ht="17">
      <c r="A414" s="42" t="s">
        <v>858</v>
      </c>
      <c r="B414" s="43">
        <v>2175</v>
      </c>
      <c r="C414" s="43" t="s">
        <v>859</v>
      </c>
      <c r="D414" s="41" t="str">
        <f t="shared" si="6"/>
        <v>CG002175</v>
      </c>
    </row>
    <row r="415" spans="1:4" ht="17">
      <c r="A415" s="42" t="s">
        <v>860</v>
      </c>
      <c r="B415" s="43">
        <v>2177</v>
      </c>
      <c r="C415" s="43" t="s">
        <v>861</v>
      </c>
      <c r="D415" s="41" t="str">
        <f t="shared" si="6"/>
        <v>CG002177</v>
      </c>
    </row>
    <row r="416" spans="1:4" ht="17">
      <c r="A416" s="42" t="s">
        <v>862</v>
      </c>
      <c r="B416" s="43">
        <v>2178</v>
      </c>
      <c r="C416" s="43" t="s">
        <v>863</v>
      </c>
      <c r="D416" s="41" t="str">
        <f t="shared" si="6"/>
        <v>CG002178</v>
      </c>
    </row>
    <row r="417" spans="1:4" ht="17">
      <c r="A417" s="42" t="s">
        <v>864</v>
      </c>
      <c r="B417" s="43">
        <v>2184</v>
      </c>
      <c r="C417" s="43" t="s">
        <v>865</v>
      </c>
      <c r="D417" s="41" t="str">
        <f t="shared" si="6"/>
        <v>CG002184</v>
      </c>
    </row>
    <row r="418" spans="1:4" ht="17">
      <c r="A418" s="42" t="s">
        <v>866</v>
      </c>
      <c r="B418" s="43">
        <v>2186</v>
      </c>
      <c r="C418" s="43" t="s">
        <v>867</v>
      </c>
      <c r="D418" s="41" t="str">
        <f t="shared" si="6"/>
        <v>CG002186</v>
      </c>
    </row>
    <row r="419" spans="1:4" ht="17">
      <c r="A419" s="42" t="s">
        <v>868</v>
      </c>
      <c r="B419" s="43">
        <v>2187</v>
      </c>
      <c r="C419" s="43" t="s">
        <v>869</v>
      </c>
      <c r="D419" s="41" t="str">
        <f t="shared" si="6"/>
        <v>CG002187</v>
      </c>
    </row>
    <row r="420" spans="1:4" ht="17">
      <c r="A420" s="42" t="s">
        <v>870</v>
      </c>
      <c r="B420" s="43">
        <v>2188</v>
      </c>
      <c r="C420" s="43" t="s">
        <v>871</v>
      </c>
      <c r="D420" s="41" t="str">
        <f t="shared" si="6"/>
        <v>CG002188</v>
      </c>
    </row>
    <row r="421" spans="1:4" ht="17">
      <c r="A421" s="42" t="s">
        <v>872</v>
      </c>
      <c r="B421" s="43">
        <v>2189</v>
      </c>
      <c r="C421" s="43" t="s">
        <v>873</v>
      </c>
      <c r="D421" s="41" t="str">
        <f t="shared" si="6"/>
        <v>CG002189</v>
      </c>
    </row>
    <row r="422" spans="1:4" ht="17">
      <c r="A422" s="42" t="s">
        <v>874</v>
      </c>
      <c r="B422" s="43">
        <v>2192</v>
      </c>
      <c r="C422" s="43" t="s">
        <v>875</v>
      </c>
      <c r="D422" s="41" t="str">
        <f t="shared" si="6"/>
        <v>CG002192</v>
      </c>
    </row>
    <row r="423" spans="1:4" ht="17">
      <c r="A423" s="42" t="s">
        <v>876</v>
      </c>
      <c r="B423" s="43">
        <v>2199</v>
      </c>
      <c r="C423" s="43" t="s">
        <v>877</v>
      </c>
      <c r="D423" s="41" t="str">
        <f t="shared" si="6"/>
        <v>CG002199</v>
      </c>
    </row>
    <row r="424" spans="1:4" ht="17">
      <c r="A424" s="42" t="s">
        <v>878</v>
      </c>
      <c r="B424" s="43">
        <v>2200</v>
      </c>
      <c r="C424" s="43" t="s">
        <v>879</v>
      </c>
      <c r="D424" s="41" t="str">
        <f t="shared" si="6"/>
        <v>CG002200</v>
      </c>
    </row>
    <row r="425" spans="1:4" ht="17">
      <c r="A425" s="42" t="s">
        <v>880</v>
      </c>
      <c r="B425" s="43">
        <v>2201</v>
      </c>
      <c r="C425" s="43" t="s">
        <v>881</v>
      </c>
      <c r="D425" s="41" t="str">
        <f t="shared" si="6"/>
        <v>CG002201</v>
      </c>
    </row>
    <row r="426" spans="1:4" ht="17">
      <c r="A426" s="42" t="s">
        <v>882</v>
      </c>
      <c r="B426" s="43">
        <v>2205</v>
      </c>
      <c r="C426" s="43" t="s">
        <v>883</v>
      </c>
      <c r="D426" s="41" t="str">
        <f t="shared" si="6"/>
        <v>CG002205</v>
      </c>
    </row>
    <row r="427" spans="1:4" ht="17">
      <c r="A427" s="42" t="s">
        <v>884</v>
      </c>
      <c r="B427" s="43">
        <v>2207</v>
      </c>
      <c r="C427" s="43" t="s">
        <v>885</v>
      </c>
      <c r="D427" s="41" t="str">
        <f t="shared" si="6"/>
        <v>CG002207</v>
      </c>
    </row>
    <row r="428" spans="1:4" ht="17">
      <c r="A428" s="42" t="s">
        <v>886</v>
      </c>
      <c r="B428" s="43">
        <v>2208</v>
      </c>
      <c r="C428" s="43" t="s">
        <v>887</v>
      </c>
      <c r="D428" s="41" t="str">
        <f t="shared" si="6"/>
        <v>CG002208</v>
      </c>
    </row>
    <row r="429" spans="1:4" ht="17">
      <c r="A429" s="42" t="s">
        <v>888</v>
      </c>
      <c r="B429" s="43">
        <v>2220</v>
      </c>
      <c r="C429" s="43" t="s">
        <v>875</v>
      </c>
      <c r="D429" s="41" t="str">
        <f t="shared" si="6"/>
        <v>CG002220</v>
      </c>
    </row>
    <row r="430" spans="1:4" ht="17">
      <c r="A430" s="42" t="s">
        <v>889</v>
      </c>
      <c r="B430" s="43">
        <v>2228</v>
      </c>
      <c r="C430" s="43" t="s">
        <v>890</v>
      </c>
      <c r="D430" s="41" t="str">
        <f t="shared" si="6"/>
        <v>CG002228</v>
      </c>
    </row>
    <row r="431" spans="1:4" ht="17">
      <c r="A431" s="42" t="s">
        <v>891</v>
      </c>
      <c r="B431" s="43">
        <v>2230</v>
      </c>
      <c r="C431" s="43" t="s">
        <v>892</v>
      </c>
      <c r="D431" s="41" t="str">
        <f t="shared" si="6"/>
        <v>CG002230</v>
      </c>
    </row>
    <row r="432" spans="1:4" ht="17">
      <c r="A432" s="42" t="s">
        <v>893</v>
      </c>
      <c r="B432" s="43">
        <v>2231</v>
      </c>
      <c r="C432" s="43" t="s">
        <v>894</v>
      </c>
      <c r="D432" s="41" t="str">
        <f t="shared" si="6"/>
        <v>CG002231</v>
      </c>
    </row>
    <row r="433" spans="1:4" ht="17">
      <c r="A433" s="42" t="s">
        <v>895</v>
      </c>
      <c r="B433" s="43">
        <v>2233</v>
      </c>
      <c r="C433" s="43" t="s">
        <v>896</v>
      </c>
      <c r="D433" s="41" t="str">
        <f t="shared" si="6"/>
        <v>CG002233</v>
      </c>
    </row>
    <row r="434" spans="1:4" ht="17">
      <c r="A434" s="42" t="s">
        <v>897</v>
      </c>
      <c r="B434" s="43">
        <v>2234</v>
      </c>
      <c r="C434" s="43" t="s">
        <v>898</v>
      </c>
      <c r="D434" s="41" t="str">
        <f t="shared" si="6"/>
        <v>CG002234</v>
      </c>
    </row>
    <row r="435" spans="1:4" ht="17">
      <c r="A435" s="42" t="s">
        <v>899</v>
      </c>
      <c r="B435" s="43">
        <v>2235</v>
      </c>
      <c r="C435" s="43" t="s">
        <v>900</v>
      </c>
      <c r="D435" s="41" t="str">
        <f t="shared" si="6"/>
        <v>CG002235</v>
      </c>
    </row>
    <row r="436" spans="1:4" ht="17">
      <c r="A436" s="42" t="s">
        <v>901</v>
      </c>
      <c r="B436" s="43">
        <v>2241</v>
      </c>
      <c r="C436" s="43" t="s">
        <v>902</v>
      </c>
      <c r="D436" s="41" t="str">
        <f t="shared" si="6"/>
        <v>CG002241</v>
      </c>
    </row>
    <row r="437" spans="1:4" ht="17">
      <c r="A437" s="42" t="s">
        <v>903</v>
      </c>
      <c r="B437" s="43">
        <v>2245</v>
      </c>
      <c r="C437" s="43" t="s">
        <v>904</v>
      </c>
      <c r="D437" s="41" t="str">
        <f t="shared" si="6"/>
        <v>CG002245</v>
      </c>
    </row>
    <row r="438" spans="1:4" ht="17">
      <c r="A438" s="42" t="s">
        <v>905</v>
      </c>
      <c r="B438" s="43">
        <v>2246</v>
      </c>
      <c r="C438" s="43" t="s">
        <v>906</v>
      </c>
      <c r="D438" s="41" t="str">
        <f t="shared" si="6"/>
        <v>CG002246</v>
      </c>
    </row>
    <row r="439" spans="1:4" ht="17">
      <c r="A439" s="42" t="s">
        <v>907</v>
      </c>
      <c r="B439" s="43">
        <v>2247</v>
      </c>
      <c r="C439" s="43" t="s">
        <v>542</v>
      </c>
      <c r="D439" s="41" t="str">
        <f t="shared" si="6"/>
        <v>CG002247</v>
      </c>
    </row>
    <row r="440" spans="1:4" ht="17">
      <c r="A440" s="42" t="s">
        <v>908</v>
      </c>
      <c r="B440" s="43">
        <v>2250</v>
      </c>
      <c r="C440" s="43" t="s">
        <v>909</v>
      </c>
      <c r="D440" s="41" t="str">
        <f t="shared" si="6"/>
        <v>CG002250</v>
      </c>
    </row>
    <row r="441" spans="1:4" ht="17">
      <c r="A441" s="42" t="s">
        <v>910</v>
      </c>
      <c r="B441" s="43">
        <v>2252</v>
      </c>
      <c r="C441" s="43" t="s">
        <v>911</v>
      </c>
      <c r="D441" s="41" t="str">
        <f t="shared" si="6"/>
        <v>CG002252</v>
      </c>
    </row>
    <row r="442" spans="1:4" ht="17">
      <c r="A442" s="42" t="s">
        <v>912</v>
      </c>
      <c r="B442" s="43">
        <v>2253</v>
      </c>
      <c r="C442" s="43" t="s">
        <v>913</v>
      </c>
      <c r="D442" s="41" t="str">
        <f t="shared" si="6"/>
        <v>CG002253</v>
      </c>
    </row>
    <row r="443" spans="1:4" ht="17">
      <c r="A443" s="42" t="s">
        <v>914</v>
      </c>
      <c r="B443" s="43">
        <v>2255</v>
      </c>
      <c r="C443" s="43" t="s">
        <v>915</v>
      </c>
      <c r="D443" s="41" t="str">
        <f t="shared" si="6"/>
        <v>CG002255</v>
      </c>
    </row>
    <row r="444" spans="1:4" ht="17">
      <c r="A444" s="42" t="s">
        <v>916</v>
      </c>
      <c r="B444" s="43">
        <v>2256</v>
      </c>
      <c r="C444" s="43" t="s">
        <v>917</v>
      </c>
      <c r="D444" s="41" t="str">
        <f t="shared" si="6"/>
        <v>CG002256</v>
      </c>
    </row>
    <row r="445" spans="1:4" ht="17">
      <c r="A445" s="42" t="s">
        <v>918</v>
      </c>
      <c r="B445" s="43">
        <v>2260</v>
      </c>
      <c r="C445" s="43" t="s">
        <v>919</v>
      </c>
      <c r="D445" s="41" t="str">
        <f t="shared" si="6"/>
        <v>CG002260</v>
      </c>
    </row>
    <row r="446" spans="1:4" ht="17">
      <c r="A446" s="42" t="s">
        <v>920</v>
      </c>
      <c r="B446" s="43">
        <v>2261</v>
      </c>
      <c r="C446" s="43" t="s">
        <v>921</v>
      </c>
      <c r="D446" s="41" t="str">
        <f t="shared" si="6"/>
        <v>CG002261</v>
      </c>
    </row>
    <row r="447" spans="1:4" ht="17">
      <c r="A447" s="42" t="s">
        <v>922</v>
      </c>
      <c r="B447" s="43">
        <v>2263</v>
      </c>
      <c r="C447" s="43" t="s">
        <v>923</v>
      </c>
      <c r="D447" s="41" t="str">
        <f t="shared" si="6"/>
        <v>CG002263</v>
      </c>
    </row>
    <row r="448" spans="1:4" ht="17">
      <c r="A448" s="42" t="s">
        <v>924</v>
      </c>
      <c r="B448" s="43">
        <v>2272</v>
      </c>
      <c r="C448" s="43" t="s">
        <v>925</v>
      </c>
      <c r="D448" s="41" t="str">
        <f t="shared" si="6"/>
        <v>CG002272</v>
      </c>
    </row>
    <row r="449" spans="1:4" ht="17">
      <c r="A449" s="42" t="s">
        <v>926</v>
      </c>
      <c r="B449" s="43">
        <v>2277</v>
      </c>
      <c r="C449" s="43" t="s">
        <v>927</v>
      </c>
      <c r="D449" s="41" t="str">
        <f t="shared" si="6"/>
        <v>CG002277</v>
      </c>
    </row>
    <row r="450" spans="1:4" ht="17">
      <c r="A450" s="42" t="s">
        <v>928</v>
      </c>
      <c r="B450" s="43">
        <v>2279</v>
      </c>
      <c r="C450" s="43" t="s">
        <v>929</v>
      </c>
      <c r="D450" s="41" t="str">
        <f t="shared" si="6"/>
        <v>CG002279</v>
      </c>
    </row>
    <row r="451" spans="1:4" ht="17">
      <c r="A451" s="42" t="s">
        <v>930</v>
      </c>
      <c r="B451" s="43">
        <v>2281</v>
      </c>
      <c r="C451" s="43" t="s">
        <v>931</v>
      </c>
      <c r="D451" s="41" t="str">
        <f t="shared" ref="D451:D514" si="7">TEXT(A451,"00000000")</f>
        <v>CG002281</v>
      </c>
    </row>
    <row r="452" spans="1:4" ht="17">
      <c r="A452" s="42" t="s">
        <v>932</v>
      </c>
      <c r="B452" s="43">
        <v>2284</v>
      </c>
      <c r="C452" s="43" t="s">
        <v>933</v>
      </c>
      <c r="D452" s="41" t="str">
        <f t="shared" si="7"/>
        <v>CG002284</v>
      </c>
    </row>
    <row r="453" spans="1:4" ht="17">
      <c r="A453" s="42" t="s">
        <v>934</v>
      </c>
      <c r="B453" s="43">
        <v>2286</v>
      </c>
      <c r="C453" s="43" t="s">
        <v>935</v>
      </c>
      <c r="D453" s="41" t="str">
        <f t="shared" si="7"/>
        <v>CG002286</v>
      </c>
    </row>
    <row r="454" spans="1:4" ht="17">
      <c r="A454" s="42" t="s">
        <v>936</v>
      </c>
      <c r="B454" s="43">
        <v>2288</v>
      </c>
      <c r="C454" s="43" t="s">
        <v>937</v>
      </c>
      <c r="D454" s="41" t="str">
        <f t="shared" si="7"/>
        <v>CG002288</v>
      </c>
    </row>
    <row r="455" spans="1:4" ht="17">
      <c r="A455" s="42" t="s">
        <v>938</v>
      </c>
      <c r="B455" s="43">
        <v>2289</v>
      </c>
      <c r="C455" s="43" t="s">
        <v>939</v>
      </c>
      <c r="D455" s="41" t="str">
        <f t="shared" si="7"/>
        <v>CG002289</v>
      </c>
    </row>
    <row r="456" spans="1:4" ht="17">
      <c r="A456" s="42" t="s">
        <v>940</v>
      </c>
      <c r="B456" s="43">
        <v>2290</v>
      </c>
      <c r="C456" s="43" t="s">
        <v>941</v>
      </c>
      <c r="D456" s="41" t="str">
        <f t="shared" si="7"/>
        <v>CG002290</v>
      </c>
    </row>
    <row r="457" spans="1:4" ht="17">
      <c r="A457" s="42" t="s">
        <v>942</v>
      </c>
      <c r="B457" s="43">
        <v>2291</v>
      </c>
      <c r="C457" s="43" t="s">
        <v>943</v>
      </c>
      <c r="D457" s="41" t="str">
        <f t="shared" si="7"/>
        <v>CG002291</v>
      </c>
    </row>
    <row r="458" spans="1:4" ht="17">
      <c r="A458" s="42" t="s">
        <v>944</v>
      </c>
      <c r="B458" s="43">
        <v>2296</v>
      </c>
      <c r="C458" s="43" t="s">
        <v>945</v>
      </c>
      <c r="D458" s="41" t="str">
        <f t="shared" si="7"/>
        <v>CG002296</v>
      </c>
    </row>
    <row r="459" spans="1:4" ht="17">
      <c r="A459" s="42" t="s">
        <v>946</v>
      </c>
      <c r="B459" s="43">
        <v>2298</v>
      </c>
      <c r="C459" s="43" t="s">
        <v>947</v>
      </c>
      <c r="D459" s="41" t="str">
        <f t="shared" si="7"/>
        <v>CG002298</v>
      </c>
    </row>
    <row r="460" spans="1:4" ht="17">
      <c r="A460" s="42" t="s">
        <v>948</v>
      </c>
      <c r="B460" s="43">
        <v>2300</v>
      </c>
      <c r="C460" s="43" t="s">
        <v>949</v>
      </c>
      <c r="D460" s="41" t="str">
        <f t="shared" si="7"/>
        <v>CG002300</v>
      </c>
    </row>
    <row r="461" spans="1:4" ht="17">
      <c r="A461" s="42" t="s">
        <v>950</v>
      </c>
      <c r="B461" s="43">
        <v>2303</v>
      </c>
      <c r="C461" s="43" t="s">
        <v>951</v>
      </c>
      <c r="D461" s="41" t="str">
        <f t="shared" si="7"/>
        <v>CG002303</v>
      </c>
    </row>
    <row r="462" spans="1:4" ht="17">
      <c r="A462" s="42" t="s">
        <v>952</v>
      </c>
      <c r="B462" s="43">
        <v>2304</v>
      </c>
      <c r="C462" s="43" t="s">
        <v>953</v>
      </c>
      <c r="D462" s="41" t="str">
        <f t="shared" si="7"/>
        <v>CG002304</v>
      </c>
    </row>
    <row r="463" spans="1:4" ht="17">
      <c r="A463" s="42" t="s">
        <v>954</v>
      </c>
      <c r="B463" s="43">
        <v>2318</v>
      </c>
      <c r="C463" s="43" t="s">
        <v>955</v>
      </c>
      <c r="D463" s="41" t="str">
        <f t="shared" si="7"/>
        <v>CG002318</v>
      </c>
    </row>
    <row r="464" spans="1:4" ht="17">
      <c r="A464" s="42" t="s">
        <v>956</v>
      </c>
      <c r="B464" s="43">
        <v>2321</v>
      </c>
      <c r="C464" s="43" t="s">
        <v>957</v>
      </c>
      <c r="D464" s="41" t="str">
        <f t="shared" si="7"/>
        <v>CG002321</v>
      </c>
    </row>
    <row r="465" spans="1:4" ht="17">
      <c r="A465" s="42" t="s">
        <v>958</v>
      </c>
      <c r="B465" s="43">
        <v>2323</v>
      </c>
      <c r="C465" s="43" t="s">
        <v>959</v>
      </c>
      <c r="D465" s="41" t="str">
        <f t="shared" si="7"/>
        <v>CG002323</v>
      </c>
    </row>
    <row r="466" spans="1:4" ht="17">
      <c r="A466" s="42" t="s">
        <v>960</v>
      </c>
      <c r="B466" s="43">
        <v>2325</v>
      </c>
      <c r="C466" s="43" t="s">
        <v>961</v>
      </c>
      <c r="D466" s="41" t="str">
        <f t="shared" si="7"/>
        <v>CG002325</v>
      </c>
    </row>
    <row r="467" spans="1:4" ht="17">
      <c r="A467" s="42" t="s">
        <v>962</v>
      </c>
      <c r="B467" s="43">
        <v>2329</v>
      </c>
      <c r="C467" s="43" t="s">
        <v>963</v>
      </c>
      <c r="D467" s="41" t="str">
        <f t="shared" si="7"/>
        <v>CG002329</v>
      </c>
    </row>
    <row r="468" spans="1:4" ht="17">
      <c r="A468" s="42" t="s">
        <v>964</v>
      </c>
      <c r="B468" s="43">
        <v>2330</v>
      </c>
      <c r="C468" s="43" t="s">
        <v>965</v>
      </c>
      <c r="D468" s="41" t="str">
        <f t="shared" si="7"/>
        <v>CG002330</v>
      </c>
    </row>
    <row r="469" spans="1:4" ht="17">
      <c r="A469" s="42" t="s">
        <v>966</v>
      </c>
      <c r="B469" s="43">
        <v>2333</v>
      </c>
      <c r="C469" s="43" t="s">
        <v>967</v>
      </c>
      <c r="D469" s="41" t="str">
        <f t="shared" si="7"/>
        <v>CG002333</v>
      </c>
    </row>
    <row r="470" spans="1:4" ht="17">
      <c r="A470" s="42" t="s">
        <v>968</v>
      </c>
      <c r="B470" s="43">
        <v>2334</v>
      </c>
      <c r="C470" s="43" t="s">
        <v>969</v>
      </c>
      <c r="D470" s="41" t="str">
        <f t="shared" si="7"/>
        <v>CG002334</v>
      </c>
    </row>
    <row r="471" spans="1:4" ht="17">
      <c r="A471" s="42" t="s">
        <v>970</v>
      </c>
      <c r="B471" s="43">
        <v>2335</v>
      </c>
      <c r="C471" s="43" t="s">
        <v>971</v>
      </c>
      <c r="D471" s="41" t="str">
        <f t="shared" si="7"/>
        <v>CG002335</v>
      </c>
    </row>
    <row r="472" spans="1:4" ht="17">
      <c r="A472" s="42" t="s">
        <v>972</v>
      </c>
      <c r="B472" s="43">
        <v>2338</v>
      </c>
      <c r="C472" s="43" t="s">
        <v>973</v>
      </c>
      <c r="D472" s="41" t="str">
        <f t="shared" si="7"/>
        <v>CG002338</v>
      </c>
    </row>
    <row r="473" spans="1:4" ht="17">
      <c r="A473" s="42" t="s">
        <v>974</v>
      </c>
      <c r="B473" s="43">
        <v>2339</v>
      </c>
      <c r="C473" s="43" t="s">
        <v>975</v>
      </c>
      <c r="D473" s="41" t="str">
        <f t="shared" si="7"/>
        <v>CG002339</v>
      </c>
    </row>
    <row r="474" spans="1:4" ht="17">
      <c r="A474" s="42" t="s">
        <v>976</v>
      </c>
      <c r="B474" s="43">
        <v>2340</v>
      </c>
      <c r="C474" s="43" t="s">
        <v>977</v>
      </c>
      <c r="D474" s="41" t="str">
        <f t="shared" si="7"/>
        <v>CG002340</v>
      </c>
    </row>
    <row r="475" spans="1:4" ht="17">
      <c r="A475" s="42" t="s">
        <v>978</v>
      </c>
      <c r="B475" s="43">
        <v>2341</v>
      </c>
      <c r="C475" s="43" t="s">
        <v>603</v>
      </c>
      <c r="D475" s="41" t="str">
        <f t="shared" si="7"/>
        <v>CG002341</v>
      </c>
    </row>
    <row r="476" spans="1:4" ht="17">
      <c r="A476" s="42" t="s">
        <v>979</v>
      </c>
      <c r="B476" s="43">
        <v>2343</v>
      </c>
      <c r="C476" s="43" t="s">
        <v>980</v>
      </c>
      <c r="D476" s="41" t="str">
        <f t="shared" si="7"/>
        <v>CG002343</v>
      </c>
    </row>
    <row r="477" spans="1:4" ht="17">
      <c r="A477" s="42" t="s">
        <v>981</v>
      </c>
      <c r="B477" s="43">
        <v>2344</v>
      </c>
      <c r="C477" s="43" t="s">
        <v>982</v>
      </c>
      <c r="D477" s="41" t="str">
        <f t="shared" si="7"/>
        <v>CG002344</v>
      </c>
    </row>
    <row r="478" spans="1:4" ht="17">
      <c r="A478" s="42" t="s">
        <v>983</v>
      </c>
      <c r="B478" s="43">
        <v>2347</v>
      </c>
      <c r="C478" s="43" t="s">
        <v>984</v>
      </c>
      <c r="D478" s="41" t="str">
        <f t="shared" si="7"/>
        <v>CG002347</v>
      </c>
    </row>
    <row r="479" spans="1:4" ht="17">
      <c r="A479" s="42" t="s">
        <v>985</v>
      </c>
      <c r="B479" s="43">
        <v>2349</v>
      </c>
      <c r="C479" s="43" t="s">
        <v>986</v>
      </c>
      <c r="D479" s="41" t="str">
        <f t="shared" si="7"/>
        <v>CG002349</v>
      </c>
    </row>
    <row r="480" spans="1:4" ht="17">
      <c r="A480" s="42" t="s">
        <v>987</v>
      </c>
      <c r="B480" s="43">
        <v>2351</v>
      </c>
      <c r="C480" s="43" t="s">
        <v>988</v>
      </c>
      <c r="D480" s="41" t="str">
        <f t="shared" si="7"/>
        <v>CG002351</v>
      </c>
    </row>
    <row r="481" spans="1:4" ht="17">
      <c r="A481" s="42" t="s">
        <v>989</v>
      </c>
      <c r="B481" s="43">
        <v>2353</v>
      </c>
      <c r="C481" s="43" t="s">
        <v>990</v>
      </c>
      <c r="D481" s="41" t="str">
        <f t="shared" si="7"/>
        <v>CG002353</v>
      </c>
    </row>
    <row r="482" spans="1:4" ht="17">
      <c r="A482" s="42" t="s">
        <v>991</v>
      </c>
      <c r="B482" s="43">
        <v>2354</v>
      </c>
      <c r="C482" s="43" t="s">
        <v>992</v>
      </c>
      <c r="D482" s="41" t="str">
        <f t="shared" si="7"/>
        <v>CG002354</v>
      </c>
    </row>
    <row r="483" spans="1:4" ht="17">
      <c r="A483" s="42" t="s">
        <v>993</v>
      </c>
      <c r="B483" s="43">
        <v>2355</v>
      </c>
      <c r="C483" s="43" t="s">
        <v>994</v>
      </c>
      <c r="D483" s="41" t="str">
        <f t="shared" si="7"/>
        <v>CG002355</v>
      </c>
    </row>
    <row r="484" spans="1:4" ht="17">
      <c r="A484" s="42" t="s">
        <v>995</v>
      </c>
      <c r="B484" s="43">
        <v>2356</v>
      </c>
      <c r="C484" s="43" t="s">
        <v>996</v>
      </c>
      <c r="D484" s="41" t="str">
        <f t="shared" si="7"/>
        <v>CG002356</v>
      </c>
    </row>
    <row r="485" spans="1:4" ht="17">
      <c r="A485" s="42" t="s">
        <v>997</v>
      </c>
      <c r="B485" s="43">
        <v>2357</v>
      </c>
      <c r="C485" s="43" t="s">
        <v>998</v>
      </c>
      <c r="D485" s="41" t="str">
        <f t="shared" si="7"/>
        <v>CG002357</v>
      </c>
    </row>
    <row r="486" spans="1:4" ht="17">
      <c r="A486" s="42" t="s">
        <v>999</v>
      </c>
      <c r="B486" s="43">
        <v>2360</v>
      </c>
      <c r="C486" s="43" t="s">
        <v>1000</v>
      </c>
      <c r="D486" s="41" t="str">
        <f t="shared" si="7"/>
        <v>CG002360</v>
      </c>
    </row>
    <row r="487" spans="1:4" ht="17">
      <c r="A487" s="42" t="s">
        <v>1001</v>
      </c>
      <c r="B487" s="43">
        <v>2362</v>
      </c>
      <c r="C487" s="43" t="s">
        <v>1002</v>
      </c>
      <c r="D487" s="41" t="str">
        <f t="shared" si="7"/>
        <v>CG002362</v>
      </c>
    </row>
    <row r="488" spans="1:4" ht="17">
      <c r="A488" s="42" t="s">
        <v>1003</v>
      </c>
      <c r="B488" s="43">
        <v>2363</v>
      </c>
      <c r="C488" s="43" t="s">
        <v>1004</v>
      </c>
      <c r="D488" s="41" t="str">
        <f t="shared" si="7"/>
        <v>CG002363</v>
      </c>
    </row>
    <row r="489" spans="1:4" ht="17">
      <c r="A489" s="42" t="s">
        <v>1005</v>
      </c>
      <c r="B489" s="43">
        <v>2364</v>
      </c>
      <c r="C489" s="43" t="s">
        <v>1006</v>
      </c>
      <c r="D489" s="41" t="str">
        <f t="shared" si="7"/>
        <v>CG002364</v>
      </c>
    </row>
    <row r="490" spans="1:4" ht="17">
      <c r="A490" s="42" t="s">
        <v>1007</v>
      </c>
      <c r="B490" s="43">
        <v>2365</v>
      </c>
      <c r="C490" s="43" t="s">
        <v>1008</v>
      </c>
      <c r="D490" s="41" t="str">
        <f t="shared" si="7"/>
        <v>CG002365</v>
      </c>
    </row>
    <row r="491" spans="1:4" ht="17">
      <c r="A491" s="42" t="s">
        <v>1009</v>
      </c>
      <c r="B491" s="43">
        <v>2367</v>
      </c>
      <c r="C491" s="43" t="s">
        <v>1010</v>
      </c>
      <c r="D491" s="41" t="str">
        <f t="shared" si="7"/>
        <v>CG002367</v>
      </c>
    </row>
    <row r="492" spans="1:4" ht="17">
      <c r="A492" s="42" t="s">
        <v>1011</v>
      </c>
      <c r="B492" s="43">
        <v>2368</v>
      </c>
      <c r="C492" s="43" t="s">
        <v>1012</v>
      </c>
      <c r="D492" s="41" t="str">
        <f t="shared" si="7"/>
        <v>CG002368</v>
      </c>
    </row>
    <row r="493" spans="1:4" ht="17">
      <c r="A493" s="42" t="s">
        <v>1013</v>
      </c>
      <c r="B493" s="43">
        <v>2369</v>
      </c>
      <c r="C493" s="43" t="s">
        <v>1014</v>
      </c>
      <c r="D493" s="41" t="str">
        <f t="shared" si="7"/>
        <v>CG002369</v>
      </c>
    </row>
    <row r="494" spans="1:4" ht="17">
      <c r="A494" s="42" t="s">
        <v>1015</v>
      </c>
      <c r="B494" s="43">
        <v>2371</v>
      </c>
      <c r="C494" s="43" t="s">
        <v>1016</v>
      </c>
      <c r="D494" s="41" t="str">
        <f t="shared" si="7"/>
        <v>CG002371</v>
      </c>
    </row>
    <row r="495" spans="1:4" ht="17">
      <c r="A495" s="42" t="s">
        <v>1017</v>
      </c>
      <c r="B495" s="43">
        <v>2380</v>
      </c>
      <c r="C495" s="43" t="s">
        <v>1018</v>
      </c>
      <c r="D495" s="41" t="str">
        <f t="shared" si="7"/>
        <v>CG002380</v>
      </c>
    </row>
    <row r="496" spans="1:4" ht="17">
      <c r="A496" s="42" t="s">
        <v>1019</v>
      </c>
      <c r="B496" s="43">
        <v>2381</v>
      </c>
      <c r="C496" s="43" t="s">
        <v>1020</v>
      </c>
      <c r="D496" s="41" t="str">
        <f t="shared" si="7"/>
        <v>CG002381</v>
      </c>
    </row>
    <row r="497" spans="1:4" ht="17">
      <c r="A497" s="42" t="s">
        <v>1021</v>
      </c>
      <c r="B497" s="43">
        <v>2382</v>
      </c>
      <c r="C497" s="43" t="s">
        <v>1022</v>
      </c>
      <c r="D497" s="41" t="str">
        <f t="shared" si="7"/>
        <v>CG002382</v>
      </c>
    </row>
    <row r="498" spans="1:4" ht="17">
      <c r="A498" s="42" t="s">
        <v>1023</v>
      </c>
      <c r="B498" s="43">
        <v>2384</v>
      </c>
      <c r="C498" s="43" t="s">
        <v>1024</v>
      </c>
      <c r="D498" s="41" t="str">
        <f t="shared" si="7"/>
        <v>CG002384</v>
      </c>
    </row>
    <row r="499" spans="1:4" ht="17">
      <c r="A499" s="42" t="s">
        <v>1025</v>
      </c>
      <c r="B499" s="43">
        <v>2386</v>
      </c>
      <c r="C499" s="43" t="s">
        <v>1026</v>
      </c>
      <c r="D499" s="41" t="str">
        <f t="shared" si="7"/>
        <v>CG002386</v>
      </c>
    </row>
    <row r="500" spans="1:4" ht="17">
      <c r="A500" s="42" t="s">
        <v>1027</v>
      </c>
      <c r="B500" s="43">
        <v>2388</v>
      </c>
      <c r="C500" s="43" t="s">
        <v>1028</v>
      </c>
      <c r="D500" s="41" t="str">
        <f t="shared" si="7"/>
        <v>CG002388</v>
      </c>
    </row>
    <row r="501" spans="1:4" ht="17">
      <c r="A501" s="42" t="s">
        <v>1029</v>
      </c>
      <c r="B501" s="43">
        <v>2391</v>
      </c>
      <c r="C501" s="43" t="s">
        <v>1030</v>
      </c>
      <c r="D501" s="41" t="str">
        <f t="shared" si="7"/>
        <v>CG002391</v>
      </c>
    </row>
    <row r="502" spans="1:4" ht="17">
      <c r="A502" s="42" t="s">
        <v>1031</v>
      </c>
      <c r="B502" s="43">
        <v>2395</v>
      </c>
      <c r="C502" s="43" t="s">
        <v>1032</v>
      </c>
      <c r="D502" s="41" t="str">
        <f t="shared" si="7"/>
        <v>CG002395</v>
      </c>
    </row>
    <row r="503" spans="1:4" ht="17">
      <c r="A503" s="42" t="s">
        <v>1033</v>
      </c>
      <c r="B503" s="43">
        <v>2397</v>
      </c>
      <c r="C503" s="43" t="s">
        <v>1034</v>
      </c>
      <c r="D503" s="41" t="str">
        <f t="shared" si="7"/>
        <v>CG002397</v>
      </c>
    </row>
    <row r="504" spans="1:4" ht="17">
      <c r="A504" s="42" t="s">
        <v>1035</v>
      </c>
      <c r="B504" s="43">
        <v>2401</v>
      </c>
      <c r="C504" s="43" t="s">
        <v>1036</v>
      </c>
      <c r="D504" s="41" t="str">
        <f t="shared" si="7"/>
        <v>CG002401</v>
      </c>
    </row>
    <row r="505" spans="1:4" ht="17">
      <c r="A505" s="42" t="s">
        <v>1037</v>
      </c>
      <c r="B505" s="43">
        <v>2405</v>
      </c>
      <c r="C505" s="43" t="s">
        <v>1038</v>
      </c>
      <c r="D505" s="41" t="str">
        <f t="shared" si="7"/>
        <v>CG002405</v>
      </c>
    </row>
    <row r="506" spans="1:4" ht="17">
      <c r="A506" s="42" t="s">
        <v>1039</v>
      </c>
      <c r="B506" s="43">
        <v>2407</v>
      </c>
      <c r="C506" s="43" t="s">
        <v>1040</v>
      </c>
      <c r="D506" s="41" t="str">
        <f t="shared" si="7"/>
        <v>CG002407</v>
      </c>
    </row>
    <row r="507" spans="1:4" ht="17">
      <c r="A507" s="42" t="s">
        <v>1041</v>
      </c>
      <c r="B507" s="43">
        <v>2412</v>
      </c>
      <c r="C507" s="43" t="s">
        <v>1042</v>
      </c>
      <c r="D507" s="41" t="str">
        <f t="shared" si="7"/>
        <v>CG002412</v>
      </c>
    </row>
    <row r="508" spans="1:4" ht="17">
      <c r="A508" s="42" t="s">
        <v>1043</v>
      </c>
      <c r="B508" s="43">
        <v>2416</v>
      </c>
      <c r="C508" s="43" t="s">
        <v>1044</v>
      </c>
      <c r="D508" s="41" t="str">
        <f t="shared" si="7"/>
        <v>CG002416</v>
      </c>
    </row>
    <row r="509" spans="1:4" ht="17">
      <c r="A509" s="42" t="s">
        <v>1045</v>
      </c>
      <c r="B509" s="43">
        <v>2417</v>
      </c>
      <c r="C509" s="43" t="s">
        <v>1046</v>
      </c>
      <c r="D509" s="41" t="str">
        <f t="shared" si="7"/>
        <v>CG002417</v>
      </c>
    </row>
    <row r="510" spans="1:4" ht="17">
      <c r="A510" s="42" t="s">
        <v>1047</v>
      </c>
      <c r="B510" s="43">
        <v>2424</v>
      </c>
      <c r="C510" s="43" t="s">
        <v>1048</v>
      </c>
      <c r="D510" s="41" t="str">
        <f t="shared" si="7"/>
        <v>CG002424</v>
      </c>
    </row>
    <row r="511" spans="1:4" ht="17">
      <c r="A511" s="42" t="s">
        <v>1049</v>
      </c>
      <c r="B511" s="43">
        <v>2426</v>
      </c>
      <c r="C511" s="43" t="s">
        <v>1050</v>
      </c>
      <c r="D511" s="41" t="str">
        <f t="shared" si="7"/>
        <v>CG002426</v>
      </c>
    </row>
    <row r="512" spans="1:4" ht="17">
      <c r="A512" s="42" t="s">
        <v>1051</v>
      </c>
      <c r="B512" s="43">
        <v>2427</v>
      </c>
      <c r="C512" s="43" t="s">
        <v>1052</v>
      </c>
      <c r="D512" s="41" t="str">
        <f t="shared" si="7"/>
        <v>CG002427</v>
      </c>
    </row>
    <row r="513" spans="1:4" ht="17">
      <c r="A513" s="42" t="s">
        <v>1053</v>
      </c>
      <c r="B513" s="43">
        <v>2450</v>
      </c>
      <c r="C513" s="43" t="s">
        <v>1054</v>
      </c>
      <c r="D513" s="41" t="str">
        <f t="shared" si="7"/>
        <v>CG002450</v>
      </c>
    </row>
    <row r="514" spans="1:4" ht="17">
      <c r="A514" s="42" t="s">
        <v>1055</v>
      </c>
      <c r="B514" s="43">
        <v>2451</v>
      </c>
      <c r="C514" s="43" t="s">
        <v>1056</v>
      </c>
      <c r="D514" s="41" t="str">
        <f t="shared" si="7"/>
        <v>CG002451</v>
      </c>
    </row>
    <row r="515" spans="1:4" ht="17">
      <c r="A515" s="42" t="s">
        <v>1057</v>
      </c>
      <c r="B515" s="43">
        <v>2453</v>
      </c>
      <c r="C515" s="43" t="s">
        <v>1058</v>
      </c>
      <c r="D515" s="41" t="str">
        <f t="shared" ref="D515:D578" si="8">TEXT(A515,"00000000")</f>
        <v>CG002453</v>
      </c>
    </row>
    <row r="516" spans="1:4" ht="17">
      <c r="A516" s="42" t="s">
        <v>1059</v>
      </c>
      <c r="B516" s="43">
        <v>2455</v>
      </c>
      <c r="C516" s="43" t="s">
        <v>1060</v>
      </c>
      <c r="D516" s="41" t="str">
        <f t="shared" si="8"/>
        <v>CG002455</v>
      </c>
    </row>
    <row r="517" spans="1:4" ht="17">
      <c r="A517" s="42" t="s">
        <v>1061</v>
      </c>
      <c r="B517" s="43">
        <v>2457</v>
      </c>
      <c r="C517" s="43" t="s">
        <v>1062</v>
      </c>
      <c r="D517" s="41" t="str">
        <f t="shared" si="8"/>
        <v>CG002457</v>
      </c>
    </row>
    <row r="518" spans="1:4" ht="17">
      <c r="A518" s="42" t="s">
        <v>1063</v>
      </c>
      <c r="B518" s="43">
        <v>2461</v>
      </c>
      <c r="C518" s="43" t="s">
        <v>1064</v>
      </c>
      <c r="D518" s="41" t="str">
        <f t="shared" si="8"/>
        <v>CG002461</v>
      </c>
    </row>
    <row r="519" spans="1:4" ht="17">
      <c r="A519" s="42" t="s">
        <v>1065</v>
      </c>
      <c r="B519" s="43">
        <v>2470</v>
      </c>
      <c r="C519" s="43" t="s">
        <v>1066</v>
      </c>
      <c r="D519" s="41" t="str">
        <f t="shared" si="8"/>
        <v>CG002470</v>
      </c>
    </row>
    <row r="520" spans="1:4" ht="17">
      <c r="A520" s="42" t="s">
        <v>1067</v>
      </c>
      <c r="B520" s="43">
        <v>2473</v>
      </c>
      <c r="C520" s="43" t="s">
        <v>1068</v>
      </c>
      <c r="D520" s="41" t="str">
        <f t="shared" si="8"/>
        <v>CG002473</v>
      </c>
    </row>
    <row r="521" spans="1:4" ht="17">
      <c r="A521" s="42" t="s">
        <v>1069</v>
      </c>
      <c r="B521" s="43">
        <v>2474</v>
      </c>
      <c r="C521" s="43" t="s">
        <v>1070</v>
      </c>
      <c r="D521" s="41" t="str">
        <f t="shared" si="8"/>
        <v>CG002474</v>
      </c>
    </row>
    <row r="522" spans="1:4" ht="17">
      <c r="A522" s="42" t="s">
        <v>1071</v>
      </c>
      <c r="B522" s="43">
        <v>2476</v>
      </c>
      <c r="C522" s="43" t="s">
        <v>1072</v>
      </c>
      <c r="D522" s="41" t="str">
        <f t="shared" si="8"/>
        <v>CG002476</v>
      </c>
    </row>
    <row r="523" spans="1:4" ht="17">
      <c r="A523" s="42" t="s">
        <v>1073</v>
      </c>
      <c r="B523" s="43">
        <v>2477</v>
      </c>
      <c r="C523" s="43" t="s">
        <v>1074</v>
      </c>
      <c r="D523" s="41" t="str">
        <f t="shared" si="8"/>
        <v>CG002477</v>
      </c>
    </row>
    <row r="524" spans="1:4" ht="17">
      <c r="A524" s="42" t="s">
        <v>1075</v>
      </c>
      <c r="B524" s="43">
        <v>2481</v>
      </c>
      <c r="C524" s="43" t="s">
        <v>1076</v>
      </c>
      <c r="D524" s="41" t="str">
        <f t="shared" si="8"/>
        <v>CG002481</v>
      </c>
    </row>
    <row r="525" spans="1:4" ht="17">
      <c r="A525" s="42" t="s">
        <v>1077</v>
      </c>
      <c r="B525" s="43">
        <v>2483</v>
      </c>
      <c r="C525" s="43" t="s">
        <v>1078</v>
      </c>
      <c r="D525" s="41" t="str">
        <f t="shared" si="8"/>
        <v>CG002483</v>
      </c>
    </row>
    <row r="526" spans="1:4" ht="17">
      <c r="A526" s="42" t="s">
        <v>1079</v>
      </c>
      <c r="B526" s="43">
        <v>2484</v>
      </c>
      <c r="C526" s="43" t="s">
        <v>1080</v>
      </c>
      <c r="D526" s="41" t="str">
        <f t="shared" si="8"/>
        <v>CG002484</v>
      </c>
    </row>
    <row r="527" spans="1:4" ht="17">
      <c r="A527" s="42" t="s">
        <v>1081</v>
      </c>
      <c r="B527" s="43">
        <v>2485</v>
      </c>
      <c r="C527" s="43" t="s">
        <v>1082</v>
      </c>
      <c r="D527" s="41" t="str">
        <f t="shared" si="8"/>
        <v>CG002485</v>
      </c>
    </row>
    <row r="528" spans="1:4" ht="17">
      <c r="A528" s="42" t="s">
        <v>1083</v>
      </c>
      <c r="B528" s="43">
        <v>2486</v>
      </c>
      <c r="C528" s="43" t="s">
        <v>1084</v>
      </c>
      <c r="D528" s="41" t="str">
        <f t="shared" si="8"/>
        <v>CG002486</v>
      </c>
    </row>
    <row r="529" spans="1:4" ht="17">
      <c r="A529" s="42" t="s">
        <v>1085</v>
      </c>
      <c r="B529" s="43">
        <v>2487</v>
      </c>
      <c r="C529" s="43" t="s">
        <v>1086</v>
      </c>
      <c r="D529" s="41" t="str">
        <f t="shared" si="8"/>
        <v>CG002487</v>
      </c>
    </row>
    <row r="530" spans="1:4" ht="17">
      <c r="A530" s="42" t="s">
        <v>1087</v>
      </c>
      <c r="B530" s="43">
        <v>2488</v>
      </c>
      <c r="C530" s="43" t="s">
        <v>1088</v>
      </c>
      <c r="D530" s="41" t="str">
        <f t="shared" si="8"/>
        <v>CG002488</v>
      </c>
    </row>
    <row r="531" spans="1:4" ht="17">
      <c r="A531" s="42" t="s">
        <v>1089</v>
      </c>
      <c r="B531" s="43">
        <v>2511</v>
      </c>
      <c r="C531" s="43" t="s">
        <v>1090</v>
      </c>
      <c r="D531" s="41" t="str">
        <f t="shared" si="8"/>
        <v>CG002511</v>
      </c>
    </row>
    <row r="532" spans="1:4" ht="17">
      <c r="A532" s="42" t="s">
        <v>1091</v>
      </c>
      <c r="B532" s="43">
        <v>2513</v>
      </c>
      <c r="C532" s="43" t="s">
        <v>1092</v>
      </c>
      <c r="D532" s="41" t="str">
        <f t="shared" si="8"/>
        <v>CG002513</v>
      </c>
    </row>
    <row r="533" spans="1:4" ht="17">
      <c r="A533" s="42" t="s">
        <v>1093</v>
      </c>
      <c r="B533" s="43">
        <v>2514</v>
      </c>
      <c r="C533" s="43" t="s">
        <v>1094</v>
      </c>
      <c r="D533" s="41" t="str">
        <f t="shared" si="8"/>
        <v>CG002514</v>
      </c>
    </row>
    <row r="534" spans="1:4" ht="17">
      <c r="A534" s="42" t="s">
        <v>1095</v>
      </c>
      <c r="B534" s="43">
        <v>2515</v>
      </c>
      <c r="C534" s="43" t="s">
        <v>1096</v>
      </c>
      <c r="D534" s="41" t="str">
        <f t="shared" si="8"/>
        <v>CG002515</v>
      </c>
    </row>
    <row r="535" spans="1:4" ht="17">
      <c r="A535" s="42" t="s">
        <v>1097</v>
      </c>
      <c r="B535" s="43">
        <v>2518</v>
      </c>
      <c r="C535" s="43" t="s">
        <v>1098</v>
      </c>
      <c r="D535" s="41" t="str">
        <f t="shared" si="8"/>
        <v>CG002518</v>
      </c>
    </row>
    <row r="536" spans="1:4" ht="17">
      <c r="A536" s="42" t="s">
        <v>1099</v>
      </c>
      <c r="B536" s="43">
        <v>2519</v>
      </c>
      <c r="C536" s="43" t="s">
        <v>1100</v>
      </c>
      <c r="D536" s="41" t="str">
        <f t="shared" si="8"/>
        <v>CG002519</v>
      </c>
    </row>
    <row r="537" spans="1:4" ht="17">
      <c r="A537" s="42" t="s">
        <v>1101</v>
      </c>
      <c r="B537" s="43">
        <v>2520</v>
      </c>
      <c r="C537" s="43" t="s">
        <v>1102</v>
      </c>
      <c r="D537" s="41" t="str">
        <f t="shared" si="8"/>
        <v>CG002520</v>
      </c>
    </row>
    <row r="538" spans="1:4" ht="17">
      <c r="A538" s="42" t="s">
        <v>1103</v>
      </c>
      <c r="B538" s="43">
        <v>2522</v>
      </c>
      <c r="C538" s="43" t="s">
        <v>1104</v>
      </c>
      <c r="D538" s="41" t="str">
        <f t="shared" si="8"/>
        <v>CG002522</v>
      </c>
    </row>
    <row r="539" spans="1:4" ht="17">
      <c r="A539" s="42" t="s">
        <v>1105</v>
      </c>
      <c r="B539" s="43">
        <v>2524</v>
      </c>
      <c r="C539" s="43" t="s">
        <v>1106</v>
      </c>
      <c r="D539" s="41" t="str">
        <f t="shared" si="8"/>
        <v>CG002524</v>
      </c>
    </row>
    <row r="540" spans="1:4" ht="17">
      <c r="A540" s="42" t="s">
        <v>1107</v>
      </c>
      <c r="B540" s="43">
        <v>2526</v>
      </c>
      <c r="C540" s="43" t="s">
        <v>1108</v>
      </c>
      <c r="D540" s="41" t="str">
        <f t="shared" si="8"/>
        <v>CG002526</v>
      </c>
    </row>
    <row r="541" spans="1:4" ht="17">
      <c r="A541" s="42" t="s">
        <v>1109</v>
      </c>
      <c r="B541" s="43">
        <v>2528</v>
      </c>
      <c r="C541" s="43" t="s">
        <v>1110</v>
      </c>
      <c r="D541" s="41" t="str">
        <f t="shared" si="8"/>
        <v>CG002528</v>
      </c>
    </row>
    <row r="542" spans="1:4" ht="17">
      <c r="A542" s="42" t="s">
        <v>1111</v>
      </c>
      <c r="B542" s="43">
        <v>2531</v>
      </c>
      <c r="C542" s="43" t="s">
        <v>1112</v>
      </c>
      <c r="D542" s="41" t="str">
        <f t="shared" si="8"/>
        <v>CG002531</v>
      </c>
    </row>
    <row r="543" spans="1:4" ht="17">
      <c r="A543" s="42" t="s">
        <v>1113</v>
      </c>
      <c r="B543" s="43">
        <v>2533</v>
      </c>
      <c r="C543" s="43" t="s">
        <v>1114</v>
      </c>
      <c r="D543" s="41" t="str">
        <f t="shared" si="8"/>
        <v>CG002533</v>
      </c>
    </row>
    <row r="544" spans="1:4" ht="17">
      <c r="A544" s="42" t="s">
        <v>1115</v>
      </c>
      <c r="B544" s="43">
        <v>2535</v>
      </c>
      <c r="C544" s="43" t="s">
        <v>1116</v>
      </c>
      <c r="D544" s="41" t="str">
        <f t="shared" si="8"/>
        <v>CG002535</v>
      </c>
    </row>
    <row r="545" spans="1:4" ht="17">
      <c r="A545" s="42" t="s">
        <v>1117</v>
      </c>
      <c r="B545" s="43">
        <v>2540</v>
      </c>
      <c r="C545" s="43" t="s">
        <v>1118</v>
      </c>
      <c r="D545" s="41" t="str">
        <f t="shared" si="8"/>
        <v>CG002540</v>
      </c>
    </row>
    <row r="546" spans="1:4" ht="17">
      <c r="A546" s="42" t="s">
        <v>1119</v>
      </c>
      <c r="B546" s="43">
        <v>2541</v>
      </c>
      <c r="C546" s="43" t="s">
        <v>1120</v>
      </c>
      <c r="D546" s="41" t="str">
        <f t="shared" si="8"/>
        <v>CG002541</v>
      </c>
    </row>
    <row r="547" spans="1:4" ht="17">
      <c r="A547" s="42" t="s">
        <v>1121</v>
      </c>
      <c r="B547" s="43">
        <v>2542</v>
      </c>
      <c r="C547" s="43" t="s">
        <v>1122</v>
      </c>
      <c r="D547" s="41" t="str">
        <f t="shared" si="8"/>
        <v>CG002542</v>
      </c>
    </row>
    <row r="548" spans="1:4" ht="17">
      <c r="A548" s="42" t="s">
        <v>1123</v>
      </c>
      <c r="B548" s="43">
        <v>2545</v>
      </c>
      <c r="C548" s="43" t="s">
        <v>1124</v>
      </c>
      <c r="D548" s="41" t="str">
        <f t="shared" si="8"/>
        <v>CG002545</v>
      </c>
    </row>
    <row r="549" spans="1:4" ht="17">
      <c r="A549" s="42" t="s">
        <v>1125</v>
      </c>
      <c r="B549" s="43">
        <v>2547</v>
      </c>
      <c r="C549" s="43" t="s">
        <v>1126</v>
      </c>
      <c r="D549" s="41" t="str">
        <f t="shared" si="8"/>
        <v>CG002547</v>
      </c>
    </row>
    <row r="550" spans="1:4" ht="17">
      <c r="A550" s="42" t="s">
        <v>1127</v>
      </c>
      <c r="B550" s="43">
        <v>2548</v>
      </c>
      <c r="C550" s="43" t="s">
        <v>1128</v>
      </c>
      <c r="D550" s="41" t="str">
        <f t="shared" si="8"/>
        <v>CG002548</v>
      </c>
    </row>
    <row r="551" spans="1:4" ht="17">
      <c r="A551" s="42" t="s">
        <v>1129</v>
      </c>
      <c r="B551" s="43">
        <v>2550</v>
      </c>
      <c r="C551" s="43" t="s">
        <v>1130</v>
      </c>
      <c r="D551" s="41" t="str">
        <f t="shared" si="8"/>
        <v>CG002550</v>
      </c>
    </row>
    <row r="552" spans="1:4" ht="17">
      <c r="A552" s="42" t="s">
        <v>1131</v>
      </c>
      <c r="B552" s="43">
        <v>2553</v>
      </c>
      <c r="C552" s="43" t="s">
        <v>1132</v>
      </c>
      <c r="D552" s="41" t="str">
        <f t="shared" si="8"/>
        <v>CG002553</v>
      </c>
    </row>
    <row r="553" spans="1:4" ht="17">
      <c r="A553" s="42" t="s">
        <v>1133</v>
      </c>
      <c r="B553" s="43">
        <v>2556</v>
      </c>
      <c r="C553" s="43" t="s">
        <v>1134</v>
      </c>
      <c r="D553" s="41" t="str">
        <f t="shared" si="8"/>
        <v>CG002556</v>
      </c>
    </row>
    <row r="554" spans="1:4" ht="17">
      <c r="A554" s="42" t="s">
        <v>1135</v>
      </c>
      <c r="B554" s="43">
        <v>2558</v>
      </c>
      <c r="C554" s="43" t="s">
        <v>1136</v>
      </c>
      <c r="D554" s="41" t="str">
        <f t="shared" si="8"/>
        <v>CG002558</v>
      </c>
    </row>
    <row r="555" spans="1:4" ht="17">
      <c r="A555" s="42" t="s">
        <v>1137</v>
      </c>
      <c r="B555" s="43">
        <v>2559</v>
      </c>
      <c r="C555" s="43" t="s">
        <v>1138</v>
      </c>
      <c r="D555" s="41" t="str">
        <f t="shared" si="8"/>
        <v>CG002559</v>
      </c>
    </row>
    <row r="556" spans="1:4" ht="17">
      <c r="A556" s="42" t="s">
        <v>1139</v>
      </c>
      <c r="B556" s="43">
        <v>2560</v>
      </c>
      <c r="C556" s="43" t="s">
        <v>1140</v>
      </c>
      <c r="D556" s="41" t="str">
        <f t="shared" si="8"/>
        <v>CG002560</v>
      </c>
    </row>
    <row r="557" spans="1:4" ht="17">
      <c r="A557" s="42" t="s">
        <v>1141</v>
      </c>
      <c r="B557" s="43">
        <v>2568</v>
      </c>
      <c r="C557" s="43" t="s">
        <v>1142</v>
      </c>
      <c r="D557" s="41" t="str">
        <f t="shared" si="8"/>
        <v>CG002568</v>
      </c>
    </row>
    <row r="558" spans="1:4" ht="17">
      <c r="A558" s="42" t="s">
        <v>1143</v>
      </c>
      <c r="B558" s="43">
        <v>2570</v>
      </c>
      <c r="C558" s="43" t="s">
        <v>1144</v>
      </c>
      <c r="D558" s="41" t="str">
        <f t="shared" si="8"/>
        <v>CG002570</v>
      </c>
    </row>
    <row r="559" spans="1:4" ht="17">
      <c r="A559" s="42" t="s">
        <v>1145</v>
      </c>
      <c r="B559" s="43">
        <v>2571</v>
      </c>
      <c r="C559" s="43" t="s">
        <v>1146</v>
      </c>
      <c r="D559" s="41" t="str">
        <f t="shared" si="8"/>
        <v>CG002571</v>
      </c>
    </row>
    <row r="560" spans="1:4" ht="17">
      <c r="A560" s="42" t="s">
        <v>1147</v>
      </c>
      <c r="B560" s="43">
        <v>2573</v>
      </c>
      <c r="C560" s="43" t="s">
        <v>1148</v>
      </c>
      <c r="D560" s="41" t="str">
        <f t="shared" si="8"/>
        <v>CG002573</v>
      </c>
    </row>
    <row r="561" spans="1:4" ht="17">
      <c r="A561" s="42" t="s">
        <v>1149</v>
      </c>
      <c r="B561" s="43">
        <v>2575</v>
      </c>
      <c r="C561" s="43" t="s">
        <v>1150</v>
      </c>
      <c r="D561" s="41" t="str">
        <f t="shared" si="8"/>
        <v>CG002575</v>
      </c>
    </row>
    <row r="562" spans="1:4" ht="17">
      <c r="A562" s="42" t="s">
        <v>1151</v>
      </c>
      <c r="B562" s="43">
        <v>2579</v>
      </c>
      <c r="C562" s="43" t="s">
        <v>1152</v>
      </c>
      <c r="D562" s="41" t="str">
        <f t="shared" si="8"/>
        <v>CG002579</v>
      </c>
    </row>
    <row r="563" spans="1:4" ht="17">
      <c r="A563" s="42" t="s">
        <v>1153</v>
      </c>
      <c r="B563" s="43">
        <v>2587</v>
      </c>
      <c r="C563" s="43" t="s">
        <v>1154</v>
      </c>
      <c r="D563" s="41" t="str">
        <f t="shared" si="8"/>
        <v>CG002587</v>
      </c>
    </row>
    <row r="564" spans="1:4" ht="17">
      <c r="A564" s="42" t="s">
        <v>1155</v>
      </c>
      <c r="B564" s="43">
        <v>2588</v>
      </c>
      <c r="C564" s="43" t="s">
        <v>1156</v>
      </c>
      <c r="D564" s="41" t="str">
        <f t="shared" si="8"/>
        <v>CG002588</v>
      </c>
    </row>
    <row r="565" spans="1:4" ht="17">
      <c r="A565" s="42" t="s">
        <v>1157</v>
      </c>
      <c r="B565" s="43">
        <v>2589</v>
      </c>
      <c r="C565" s="43" t="s">
        <v>1158</v>
      </c>
      <c r="D565" s="41" t="str">
        <f t="shared" si="8"/>
        <v>CG002589</v>
      </c>
    </row>
    <row r="566" spans="1:4" ht="17">
      <c r="A566" s="42" t="s">
        <v>1159</v>
      </c>
      <c r="B566" s="43">
        <v>2608</v>
      </c>
      <c r="C566" s="43" t="s">
        <v>1160</v>
      </c>
      <c r="D566" s="41" t="str">
        <f t="shared" si="8"/>
        <v>CG002608</v>
      </c>
    </row>
    <row r="567" spans="1:4" ht="17">
      <c r="A567" s="42" t="s">
        <v>1161</v>
      </c>
      <c r="B567" s="43">
        <v>2610</v>
      </c>
      <c r="C567" s="43" t="s">
        <v>617</v>
      </c>
      <c r="D567" s="41" t="str">
        <f t="shared" si="8"/>
        <v>CG002610</v>
      </c>
    </row>
    <row r="568" spans="1:4" ht="17">
      <c r="A568" s="42" t="s">
        <v>1162</v>
      </c>
      <c r="B568" s="43">
        <v>2611</v>
      </c>
      <c r="C568" s="43" t="s">
        <v>1163</v>
      </c>
      <c r="D568" s="41" t="str">
        <f t="shared" si="8"/>
        <v>CG002611</v>
      </c>
    </row>
    <row r="569" spans="1:4" ht="17">
      <c r="A569" s="42" t="s">
        <v>1164</v>
      </c>
      <c r="B569" s="43">
        <v>2612</v>
      </c>
      <c r="C569" s="43" t="s">
        <v>1165</v>
      </c>
      <c r="D569" s="41" t="str">
        <f t="shared" si="8"/>
        <v>CG002612</v>
      </c>
    </row>
    <row r="570" spans="1:4" ht="17">
      <c r="A570" s="42" t="s">
        <v>1166</v>
      </c>
      <c r="B570" s="43">
        <v>2618</v>
      </c>
      <c r="C570" s="43" t="s">
        <v>1167</v>
      </c>
      <c r="D570" s="41" t="str">
        <f t="shared" si="8"/>
        <v>CG002618</v>
      </c>
    </row>
    <row r="571" spans="1:4" ht="17">
      <c r="A571" s="42" t="s">
        <v>1168</v>
      </c>
      <c r="B571" s="43">
        <v>2619</v>
      </c>
      <c r="C571" s="43" t="s">
        <v>1169</v>
      </c>
      <c r="D571" s="41" t="str">
        <f t="shared" si="8"/>
        <v>CG002619</v>
      </c>
    </row>
    <row r="572" spans="1:4" ht="17">
      <c r="A572" s="42" t="s">
        <v>1170</v>
      </c>
      <c r="B572" s="43">
        <v>2622</v>
      </c>
      <c r="C572" s="43" t="s">
        <v>1171</v>
      </c>
      <c r="D572" s="41" t="str">
        <f t="shared" si="8"/>
        <v>CG002622</v>
      </c>
    </row>
    <row r="573" spans="1:4" ht="17">
      <c r="A573" s="42" t="s">
        <v>1172</v>
      </c>
      <c r="B573" s="43">
        <v>2623</v>
      </c>
      <c r="C573" s="43" t="s">
        <v>1173</v>
      </c>
      <c r="D573" s="41" t="str">
        <f t="shared" si="8"/>
        <v>CG002623</v>
      </c>
    </row>
    <row r="574" spans="1:4" ht="17">
      <c r="A574" s="42" t="s">
        <v>1174</v>
      </c>
      <c r="B574" s="43">
        <v>2625</v>
      </c>
      <c r="C574" s="43" t="s">
        <v>1175</v>
      </c>
      <c r="D574" s="41" t="str">
        <f t="shared" si="8"/>
        <v>CG002625</v>
      </c>
    </row>
    <row r="575" spans="1:4" ht="17">
      <c r="A575" s="42" t="s">
        <v>1176</v>
      </c>
      <c r="B575" s="43">
        <v>2626</v>
      </c>
      <c r="C575" s="43" t="s">
        <v>1177</v>
      </c>
      <c r="D575" s="41" t="str">
        <f t="shared" si="8"/>
        <v>CG002626</v>
      </c>
    </row>
    <row r="576" spans="1:4" ht="17">
      <c r="A576" s="42" t="s">
        <v>1178</v>
      </c>
      <c r="B576" s="43">
        <v>2627</v>
      </c>
      <c r="C576" s="43" t="s">
        <v>1179</v>
      </c>
      <c r="D576" s="41" t="str">
        <f t="shared" si="8"/>
        <v>CG002627</v>
      </c>
    </row>
    <row r="577" spans="1:4" ht="17">
      <c r="A577" s="42" t="s">
        <v>1180</v>
      </c>
      <c r="B577" s="43">
        <v>2628</v>
      </c>
      <c r="C577" s="43" t="s">
        <v>1181</v>
      </c>
      <c r="D577" s="41" t="str">
        <f t="shared" si="8"/>
        <v>CG002628</v>
      </c>
    </row>
    <row r="578" spans="1:4" ht="17">
      <c r="A578" s="42" t="s">
        <v>1182</v>
      </c>
      <c r="B578" s="43">
        <v>2630</v>
      </c>
      <c r="C578" s="43" t="s">
        <v>1183</v>
      </c>
      <c r="D578" s="41" t="str">
        <f t="shared" si="8"/>
        <v>CG002630</v>
      </c>
    </row>
    <row r="579" spans="1:4" ht="17">
      <c r="A579" s="42" t="s">
        <v>1184</v>
      </c>
      <c r="B579" s="43">
        <v>2631</v>
      </c>
      <c r="C579" s="43" t="s">
        <v>1185</v>
      </c>
      <c r="D579" s="41" t="str">
        <f t="shared" ref="D579:D642" si="9">TEXT(A579,"00000000")</f>
        <v>CG002631</v>
      </c>
    </row>
    <row r="580" spans="1:4" ht="17">
      <c r="A580" s="42" t="s">
        <v>1186</v>
      </c>
      <c r="B580" s="43">
        <v>2632</v>
      </c>
      <c r="C580" s="43" t="s">
        <v>1187</v>
      </c>
      <c r="D580" s="41" t="str">
        <f t="shared" si="9"/>
        <v>CG002632</v>
      </c>
    </row>
    <row r="581" spans="1:4" ht="17">
      <c r="A581" s="42" t="s">
        <v>1188</v>
      </c>
      <c r="B581" s="43">
        <v>2633</v>
      </c>
      <c r="C581" s="43" t="s">
        <v>1189</v>
      </c>
      <c r="D581" s="41" t="str">
        <f t="shared" si="9"/>
        <v>CG002633</v>
      </c>
    </row>
    <row r="582" spans="1:4" ht="17">
      <c r="A582" s="42" t="s">
        <v>1190</v>
      </c>
      <c r="B582" s="43">
        <v>2636</v>
      </c>
      <c r="C582" s="43" t="s">
        <v>1191</v>
      </c>
      <c r="D582" s="41" t="str">
        <f t="shared" si="9"/>
        <v>CG002636</v>
      </c>
    </row>
    <row r="583" spans="1:4" ht="17">
      <c r="A583" s="42" t="s">
        <v>1192</v>
      </c>
      <c r="B583" s="43">
        <v>2641</v>
      </c>
      <c r="C583" s="43" t="s">
        <v>1193</v>
      </c>
      <c r="D583" s="41" t="str">
        <f t="shared" si="9"/>
        <v>CG002641</v>
      </c>
    </row>
    <row r="584" spans="1:4" ht="17">
      <c r="A584" s="42" t="s">
        <v>1194</v>
      </c>
      <c r="B584" s="43">
        <v>2642</v>
      </c>
      <c r="C584" s="43" t="s">
        <v>1195</v>
      </c>
      <c r="D584" s="41" t="str">
        <f t="shared" si="9"/>
        <v>CG002642</v>
      </c>
    </row>
    <row r="585" spans="1:4" ht="17">
      <c r="A585" s="42" t="s">
        <v>1196</v>
      </c>
      <c r="B585" s="43">
        <v>2654</v>
      </c>
      <c r="C585" s="43" t="s">
        <v>1197</v>
      </c>
      <c r="D585" s="41" t="str">
        <f t="shared" si="9"/>
        <v>CG002654</v>
      </c>
    </row>
    <row r="586" spans="1:4" ht="17">
      <c r="A586" s="42" t="s">
        <v>1198</v>
      </c>
      <c r="B586" s="43">
        <v>2656</v>
      </c>
      <c r="C586" s="43" t="s">
        <v>1199</v>
      </c>
      <c r="D586" s="41" t="str">
        <f t="shared" si="9"/>
        <v>CG002656</v>
      </c>
    </row>
    <row r="587" spans="1:4" ht="17">
      <c r="A587" s="42" t="s">
        <v>1200</v>
      </c>
      <c r="B587" s="43">
        <v>2657</v>
      </c>
      <c r="C587" s="43" t="s">
        <v>1201</v>
      </c>
      <c r="D587" s="41" t="str">
        <f t="shared" si="9"/>
        <v>CG002657</v>
      </c>
    </row>
    <row r="588" spans="1:4" ht="17">
      <c r="A588" s="42" t="s">
        <v>1202</v>
      </c>
      <c r="B588" s="43">
        <v>2659</v>
      </c>
      <c r="C588" s="43" t="s">
        <v>1088</v>
      </c>
      <c r="D588" s="41" t="str">
        <f t="shared" si="9"/>
        <v>CG002659</v>
      </c>
    </row>
    <row r="589" spans="1:4" ht="17">
      <c r="A589" s="42" t="s">
        <v>1203</v>
      </c>
      <c r="B589" s="43">
        <v>2660</v>
      </c>
      <c r="C589" s="43" t="s">
        <v>1204</v>
      </c>
      <c r="D589" s="41" t="str">
        <f t="shared" si="9"/>
        <v>CG002660</v>
      </c>
    </row>
    <row r="590" spans="1:4" ht="17">
      <c r="A590" s="42" t="s">
        <v>1205</v>
      </c>
      <c r="B590" s="43">
        <v>2665</v>
      </c>
      <c r="C590" s="43" t="s">
        <v>1206</v>
      </c>
      <c r="D590" s="41" t="str">
        <f t="shared" si="9"/>
        <v>CG002665</v>
      </c>
    </row>
    <row r="591" spans="1:4" ht="17">
      <c r="A591" s="42" t="s">
        <v>1207</v>
      </c>
      <c r="B591" s="43">
        <v>2666</v>
      </c>
      <c r="C591" s="43" t="s">
        <v>1208</v>
      </c>
      <c r="D591" s="41" t="str">
        <f t="shared" si="9"/>
        <v>CG002666</v>
      </c>
    </row>
    <row r="592" spans="1:4" ht="17">
      <c r="A592" s="42" t="s">
        <v>1209</v>
      </c>
      <c r="B592" s="43">
        <v>2668</v>
      </c>
      <c r="C592" s="43" t="s">
        <v>1210</v>
      </c>
      <c r="D592" s="41" t="str">
        <f t="shared" si="9"/>
        <v>CG002668</v>
      </c>
    </row>
    <row r="593" spans="1:4" ht="17">
      <c r="A593" s="42" t="s">
        <v>1211</v>
      </c>
      <c r="B593" s="43">
        <v>2669</v>
      </c>
      <c r="C593" s="43" t="s">
        <v>1212</v>
      </c>
      <c r="D593" s="41" t="str">
        <f t="shared" si="9"/>
        <v>CG002669</v>
      </c>
    </row>
    <row r="594" spans="1:4" ht="17">
      <c r="A594" s="42" t="s">
        <v>1213</v>
      </c>
      <c r="B594" s="43">
        <v>2670</v>
      </c>
      <c r="C594" s="43" t="s">
        <v>1214</v>
      </c>
      <c r="D594" s="41" t="str">
        <f t="shared" si="9"/>
        <v>CG002670</v>
      </c>
    </row>
    <row r="595" spans="1:4" ht="17">
      <c r="A595" s="42" t="s">
        <v>1215</v>
      </c>
      <c r="B595" s="43">
        <v>2671</v>
      </c>
      <c r="C595" s="43" t="s">
        <v>1216</v>
      </c>
      <c r="D595" s="41" t="str">
        <f t="shared" si="9"/>
        <v>CG002671</v>
      </c>
    </row>
    <row r="596" spans="1:4" ht="17">
      <c r="A596" s="42" t="s">
        <v>1217</v>
      </c>
      <c r="B596" s="43">
        <v>2673</v>
      </c>
      <c r="C596" s="43" t="s">
        <v>1218</v>
      </c>
      <c r="D596" s="41" t="str">
        <f t="shared" si="9"/>
        <v>CG002673</v>
      </c>
    </row>
    <row r="597" spans="1:4" ht="17">
      <c r="A597" s="42" t="s">
        <v>1219</v>
      </c>
      <c r="B597" s="43">
        <v>2676</v>
      </c>
      <c r="C597" s="43" t="s">
        <v>1220</v>
      </c>
      <c r="D597" s="41" t="str">
        <f t="shared" si="9"/>
        <v>CG002676</v>
      </c>
    </row>
    <row r="598" spans="1:4" ht="17">
      <c r="A598" s="42" t="s">
        <v>1221</v>
      </c>
      <c r="B598" s="43">
        <v>2677</v>
      </c>
      <c r="C598" s="43" t="s">
        <v>1222</v>
      </c>
      <c r="D598" s="41" t="str">
        <f t="shared" si="9"/>
        <v>CG002677</v>
      </c>
    </row>
    <row r="599" spans="1:4" ht="17">
      <c r="A599" s="42" t="s">
        <v>1223</v>
      </c>
      <c r="B599" s="43">
        <v>2678</v>
      </c>
      <c r="C599" s="43" t="s">
        <v>1224</v>
      </c>
      <c r="D599" s="41" t="str">
        <f t="shared" si="9"/>
        <v>CG002678</v>
      </c>
    </row>
    <row r="600" spans="1:4" ht="17">
      <c r="A600" s="42" t="s">
        <v>1225</v>
      </c>
      <c r="B600" s="43">
        <v>2681</v>
      </c>
      <c r="C600" s="43" t="s">
        <v>1226</v>
      </c>
      <c r="D600" s="41" t="str">
        <f t="shared" si="9"/>
        <v>CG002681</v>
      </c>
    </row>
    <row r="601" spans="1:4" ht="17">
      <c r="A601" s="42" t="s">
        <v>1227</v>
      </c>
      <c r="B601" s="43">
        <v>2683</v>
      </c>
      <c r="C601" s="43" t="s">
        <v>1228</v>
      </c>
      <c r="D601" s="41" t="str">
        <f t="shared" si="9"/>
        <v>CG002683</v>
      </c>
    </row>
    <row r="602" spans="1:4" ht="17">
      <c r="A602" s="42" t="s">
        <v>1229</v>
      </c>
      <c r="B602" s="43">
        <v>2690</v>
      </c>
      <c r="C602" s="43" t="s">
        <v>1230</v>
      </c>
      <c r="D602" s="41" t="str">
        <f t="shared" si="9"/>
        <v>CG002690</v>
      </c>
    </row>
    <row r="603" spans="1:4" ht="17">
      <c r="A603" s="42" t="s">
        <v>1231</v>
      </c>
      <c r="B603" s="43">
        <v>2691</v>
      </c>
      <c r="C603" s="43" t="s">
        <v>1232</v>
      </c>
      <c r="D603" s="41" t="str">
        <f t="shared" si="9"/>
        <v>CG002691</v>
      </c>
    </row>
    <row r="604" spans="1:4" ht="17">
      <c r="A604" s="42" t="s">
        <v>1233</v>
      </c>
      <c r="B604" s="43">
        <v>2692</v>
      </c>
      <c r="C604" s="43" t="s">
        <v>1234</v>
      </c>
      <c r="D604" s="41" t="str">
        <f t="shared" si="9"/>
        <v>CG002692</v>
      </c>
    </row>
    <row r="605" spans="1:4" ht="17">
      <c r="A605" s="42" t="s">
        <v>1235</v>
      </c>
      <c r="B605" s="43">
        <v>2695</v>
      </c>
      <c r="C605" s="43" t="s">
        <v>1236</v>
      </c>
      <c r="D605" s="41" t="str">
        <f t="shared" si="9"/>
        <v>CG002695</v>
      </c>
    </row>
    <row r="606" spans="1:4" ht="17">
      <c r="A606" s="42" t="s">
        <v>1237</v>
      </c>
      <c r="B606" s="43">
        <v>2700</v>
      </c>
      <c r="C606" s="43" t="s">
        <v>1238</v>
      </c>
      <c r="D606" s="41" t="str">
        <f t="shared" si="9"/>
        <v>CG002700</v>
      </c>
    </row>
    <row r="607" spans="1:4" ht="17">
      <c r="A607" s="42" t="s">
        <v>1239</v>
      </c>
      <c r="B607" s="43">
        <v>2701</v>
      </c>
      <c r="C607" s="43" t="s">
        <v>1240</v>
      </c>
      <c r="D607" s="41" t="str">
        <f t="shared" si="9"/>
        <v>CG002701</v>
      </c>
    </row>
    <row r="608" spans="1:4" ht="17">
      <c r="A608" s="42" t="s">
        <v>1241</v>
      </c>
      <c r="B608" s="43">
        <v>2703</v>
      </c>
      <c r="C608" s="43" t="s">
        <v>1242</v>
      </c>
      <c r="D608" s="41" t="str">
        <f t="shared" si="9"/>
        <v>CG002703</v>
      </c>
    </row>
    <row r="609" spans="1:4" ht="17">
      <c r="A609" s="42" t="s">
        <v>1243</v>
      </c>
      <c r="B609" s="43">
        <v>2707</v>
      </c>
      <c r="C609" s="43" t="s">
        <v>1244</v>
      </c>
      <c r="D609" s="41" t="str">
        <f t="shared" si="9"/>
        <v>CG002707</v>
      </c>
    </row>
    <row r="610" spans="1:4" ht="17">
      <c r="A610" s="42" t="s">
        <v>1245</v>
      </c>
      <c r="B610" s="43">
        <v>2708</v>
      </c>
      <c r="C610" s="43" t="s">
        <v>1246</v>
      </c>
      <c r="D610" s="41" t="str">
        <f t="shared" si="9"/>
        <v>CG002708</v>
      </c>
    </row>
    <row r="611" spans="1:4" ht="17">
      <c r="A611" s="42" t="s">
        <v>1247</v>
      </c>
      <c r="B611" s="43">
        <v>2711</v>
      </c>
      <c r="C611" s="43" t="s">
        <v>1248</v>
      </c>
      <c r="D611" s="41" t="str">
        <f t="shared" si="9"/>
        <v>CG002711</v>
      </c>
    </row>
    <row r="612" spans="1:4" ht="17">
      <c r="A612" s="42" t="s">
        <v>1249</v>
      </c>
      <c r="B612" s="43">
        <v>2713</v>
      </c>
      <c r="C612" s="43" t="s">
        <v>1250</v>
      </c>
      <c r="D612" s="41" t="str">
        <f t="shared" si="9"/>
        <v>CG002713</v>
      </c>
    </row>
    <row r="613" spans="1:4" ht="17">
      <c r="A613" s="42" t="s">
        <v>1251</v>
      </c>
      <c r="B613" s="43">
        <v>2716</v>
      </c>
      <c r="C613" s="43" t="s">
        <v>1252</v>
      </c>
      <c r="D613" s="41" t="str">
        <f t="shared" si="9"/>
        <v>CG002716</v>
      </c>
    </row>
    <row r="614" spans="1:4" ht="17">
      <c r="A614" s="42" t="s">
        <v>1253</v>
      </c>
      <c r="B614" s="43">
        <v>2718</v>
      </c>
      <c r="C614" s="43" t="s">
        <v>1254</v>
      </c>
      <c r="D614" s="41" t="str">
        <f t="shared" si="9"/>
        <v>CG002718</v>
      </c>
    </row>
    <row r="615" spans="1:4" ht="17">
      <c r="A615" s="42" t="s">
        <v>1255</v>
      </c>
      <c r="B615" s="43">
        <v>2721</v>
      </c>
      <c r="C615" s="43" t="s">
        <v>1256</v>
      </c>
      <c r="D615" s="41" t="str">
        <f t="shared" si="9"/>
        <v>CG002721</v>
      </c>
    </row>
    <row r="616" spans="1:4" ht="17">
      <c r="A616" s="42" t="s">
        <v>1257</v>
      </c>
      <c r="B616" s="43">
        <v>2722</v>
      </c>
      <c r="C616" s="43" t="s">
        <v>1258</v>
      </c>
      <c r="D616" s="41" t="str">
        <f t="shared" si="9"/>
        <v>CG002722</v>
      </c>
    </row>
    <row r="617" spans="1:4" ht="17">
      <c r="A617" s="42" t="s">
        <v>1259</v>
      </c>
      <c r="B617" s="43">
        <v>2726</v>
      </c>
      <c r="C617" s="43" t="s">
        <v>1260</v>
      </c>
      <c r="D617" s="41" t="str">
        <f t="shared" si="9"/>
        <v>CG002726</v>
      </c>
    </row>
    <row r="618" spans="1:4" ht="17">
      <c r="A618" s="42" t="s">
        <v>1261</v>
      </c>
      <c r="B618" s="43">
        <v>2730</v>
      </c>
      <c r="C618" s="43" t="s">
        <v>1262</v>
      </c>
      <c r="D618" s="41" t="str">
        <f t="shared" si="9"/>
        <v>CG002730</v>
      </c>
    </row>
    <row r="619" spans="1:4" ht="17">
      <c r="A619" s="42" t="s">
        <v>1263</v>
      </c>
      <c r="B619" s="43">
        <v>2739</v>
      </c>
      <c r="C619" s="43" t="s">
        <v>1264</v>
      </c>
      <c r="D619" s="41" t="str">
        <f t="shared" si="9"/>
        <v>CG002739</v>
      </c>
    </row>
    <row r="620" spans="1:4" ht="17">
      <c r="A620" s="42" t="s">
        <v>1265</v>
      </c>
      <c r="B620" s="43">
        <v>2741</v>
      </c>
      <c r="C620" s="43" t="s">
        <v>1266</v>
      </c>
      <c r="D620" s="41" t="str">
        <f t="shared" si="9"/>
        <v>CG002741</v>
      </c>
    </row>
    <row r="621" spans="1:4" ht="17">
      <c r="A621" s="42" t="s">
        <v>1267</v>
      </c>
      <c r="B621" s="43">
        <v>2745</v>
      </c>
      <c r="C621" s="43" t="s">
        <v>1268</v>
      </c>
      <c r="D621" s="41" t="str">
        <f t="shared" si="9"/>
        <v>CG002745</v>
      </c>
    </row>
    <row r="622" spans="1:4" ht="17">
      <c r="A622" s="42" t="s">
        <v>1269</v>
      </c>
      <c r="B622" s="43">
        <v>2749</v>
      </c>
      <c r="C622" s="43" t="s">
        <v>1270</v>
      </c>
      <c r="D622" s="41" t="str">
        <f t="shared" si="9"/>
        <v>CG002749</v>
      </c>
    </row>
    <row r="623" spans="1:4" ht="17">
      <c r="A623" s="42" t="s">
        <v>1271</v>
      </c>
      <c r="B623" s="43">
        <v>2750</v>
      </c>
      <c r="C623" s="43" t="s">
        <v>1272</v>
      </c>
      <c r="D623" s="41" t="str">
        <f t="shared" si="9"/>
        <v>CG002750</v>
      </c>
    </row>
    <row r="624" spans="1:4" ht="17">
      <c r="A624" s="42" t="s">
        <v>1273</v>
      </c>
      <c r="B624" s="43">
        <v>2752</v>
      </c>
      <c r="C624" s="43" t="s">
        <v>1274</v>
      </c>
      <c r="D624" s="41" t="str">
        <f t="shared" si="9"/>
        <v>CG002752</v>
      </c>
    </row>
    <row r="625" spans="1:4" ht="17">
      <c r="A625" s="42" t="s">
        <v>1275</v>
      </c>
      <c r="B625" s="43">
        <v>2758</v>
      </c>
      <c r="C625" s="43" t="s">
        <v>1276</v>
      </c>
      <c r="D625" s="41" t="str">
        <f t="shared" si="9"/>
        <v>CG002758</v>
      </c>
    </row>
    <row r="626" spans="1:4" ht="17">
      <c r="A626" s="42" t="s">
        <v>1277</v>
      </c>
      <c r="B626" s="43">
        <v>2760</v>
      </c>
      <c r="C626" s="43" t="s">
        <v>1278</v>
      </c>
      <c r="D626" s="41" t="str">
        <f t="shared" si="9"/>
        <v>CG002760</v>
      </c>
    </row>
    <row r="627" spans="1:4" ht="17">
      <c r="A627" s="42" t="s">
        <v>1279</v>
      </c>
      <c r="B627" s="43">
        <v>2761</v>
      </c>
      <c r="C627" s="43" t="s">
        <v>1280</v>
      </c>
      <c r="D627" s="41" t="str">
        <f t="shared" si="9"/>
        <v>CG002761</v>
      </c>
    </row>
    <row r="628" spans="1:4" ht="17">
      <c r="A628" s="42" t="s">
        <v>1281</v>
      </c>
      <c r="B628" s="43">
        <v>2763</v>
      </c>
      <c r="C628" s="43" t="s">
        <v>1282</v>
      </c>
      <c r="D628" s="41" t="str">
        <f t="shared" si="9"/>
        <v>CG002763</v>
      </c>
    </row>
    <row r="629" spans="1:4" ht="17">
      <c r="A629" s="42" t="s">
        <v>1283</v>
      </c>
      <c r="B629" s="43">
        <v>2765</v>
      </c>
      <c r="C629" s="43" t="s">
        <v>1284</v>
      </c>
      <c r="D629" s="41" t="str">
        <f t="shared" si="9"/>
        <v>CG002765</v>
      </c>
    </row>
    <row r="630" spans="1:4" ht="17">
      <c r="A630" s="42" t="s">
        <v>1285</v>
      </c>
      <c r="B630" s="43">
        <v>2776</v>
      </c>
      <c r="C630" s="43" t="s">
        <v>1286</v>
      </c>
      <c r="D630" s="41" t="str">
        <f t="shared" si="9"/>
        <v>CG002776</v>
      </c>
    </row>
    <row r="631" spans="1:4" ht="17">
      <c r="A631" s="42" t="s">
        <v>1287</v>
      </c>
      <c r="B631" s="43">
        <v>2777</v>
      </c>
      <c r="C631" s="43" t="s">
        <v>1288</v>
      </c>
      <c r="D631" s="41" t="str">
        <f t="shared" si="9"/>
        <v>CG002777</v>
      </c>
    </row>
    <row r="632" spans="1:4" ht="17">
      <c r="A632" s="42" t="s">
        <v>1289</v>
      </c>
      <c r="B632" s="43">
        <v>2778</v>
      </c>
      <c r="C632" s="43" t="s">
        <v>1290</v>
      </c>
      <c r="D632" s="41" t="str">
        <f t="shared" si="9"/>
        <v>CG002778</v>
      </c>
    </row>
    <row r="633" spans="1:4" ht="17">
      <c r="A633" s="42" t="s">
        <v>1291</v>
      </c>
      <c r="B633" s="43">
        <v>2781</v>
      </c>
      <c r="C633" s="43" t="s">
        <v>1292</v>
      </c>
      <c r="D633" s="41" t="str">
        <f t="shared" si="9"/>
        <v>CG002781</v>
      </c>
    </row>
    <row r="634" spans="1:4" ht="17">
      <c r="A634" s="42" t="s">
        <v>1293</v>
      </c>
      <c r="B634" s="43">
        <v>2782</v>
      </c>
      <c r="C634" s="43" t="s">
        <v>1294</v>
      </c>
      <c r="D634" s="41" t="str">
        <f t="shared" si="9"/>
        <v>CG002782</v>
      </c>
    </row>
    <row r="635" spans="1:4" ht="17">
      <c r="A635" s="42" t="s">
        <v>1295</v>
      </c>
      <c r="B635" s="43">
        <v>2783</v>
      </c>
      <c r="C635" s="43" t="s">
        <v>1296</v>
      </c>
      <c r="D635" s="41" t="str">
        <f t="shared" si="9"/>
        <v>CG002783</v>
      </c>
    </row>
    <row r="636" spans="1:4" ht="17">
      <c r="A636" s="42" t="s">
        <v>1297</v>
      </c>
      <c r="B636" s="43">
        <v>2787</v>
      </c>
      <c r="C636" s="43" t="s">
        <v>1298</v>
      </c>
      <c r="D636" s="41" t="str">
        <f t="shared" si="9"/>
        <v>CG002787</v>
      </c>
    </row>
    <row r="637" spans="1:4" ht="17">
      <c r="A637" s="42" t="s">
        <v>1299</v>
      </c>
      <c r="B637" s="43">
        <v>2789</v>
      </c>
      <c r="C637" s="43" t="s">
        <v>1300</v>
      </c>
      <c r="D637" s="41" t="str">
        <f t="shared" si="9"/>
        <v>CG002789</v>
      </c>
    </row>
    <row r="638" spans="1:4" ht="17">
      <c r="A638" s="42" t="s">
        <v>1301</v>
      </c>
      <c r="B638" s="43">
        <v>2802</v>
      </c>
      <c r="C638" s="43" t="s">
        <v>1302</v>
      </c>
      <c r="D638" s="41" t="str">
        <f t="shared" si="9"/>
        <v>CG002802</v>
      </c>
    </row>
    <row r="639" spans="1:4" ht="17">
      <c r="A639" s="42" t="s">
        <v>1303</v>
      </c>
      <c r="B639" s="43">
        <v>2809</v>
      </c>
      <c r="C639" s="43" t="s">
        <v>396</v>
      </c>
      <c r="D639" s="41" t="str">
        <f t="shared" si="9"/>
        <v>CG002809</v>
      </c>
    </row>
    <row r="640" spans="1:4" ht="17">
      <c r="A640" s="42" t="s">
        <v>1304</v>
      </c>
      <c r="B640" s="43">
        <v>2811</v>
      </c>
      <c r="C640" s="43" t="s">
        <v>1305</v>
      </c>
      <c r="D640" s="41" t="str">
        <f t="shared" si="9"/>
        <v>CG002811</v>
      </c>
    </row>
    <row r="641" spans="1:4" ht="17">
      <c r="A641" s="42" t="s">
        <v>1306</v>
      </c>
      <c r="B641" s="43">
        <v>2814</v>
      </c>
      <c r="C641" s="43" t="s">
        <v>1307</v>
      </c>
      <c r="D641" s="41" t="str">
        <f t="shared" si="9"/>
        <v>CG002814</v>
      </c>
    </row>
    <row r="642" spans="1:4" ht="17">
      <c r="A642" s="42" t="s">
        <v>1308</v>
      </c>
      <c r="B642" s="43">
        <v>2816</v>
      </c>
      <c r="C642" s="43" t="s">
        <v>1309</v>
      </c>
      <c r="D642" s="41" t="str">
        <f t="shared" si="9"/>
        <v>CG002816</v>
      </c>
    </row>
    <row r="643" spans="1:4" ht="17">
      <c r="A643" s="42" t="s">
        <v>1310</v>
      </c>
      <c r="B643" s="43">
        <v>2824</v>
      </c>
      <c r="C643" s="43" t="s">
        <v>1311</v>
      </c>
      <c r="D643" s="41" t="str">
        <f t="shared" ref="D643:D706" si="10">TEXT(A643,"00000000")</f>
        <v>CG002824</v>
      </c>
    </row>
    <row r="644" spans="1:4" ht="17">
      <c r="A644" s="42" t="s">
        <v>1312</v>
      </c>
      <c r="B644" s="43">
        <v>2830</v>
      </c>
      <c r="C644" s="43" t="s">
        <v>1313</v>
      </c>
      <c r="D644" s="41" t="str">
        <f t="shared" si="10"/>
        <v>CG002830</v>
      </c>
    </row>
    <row r="645" spans="1:4" ht="17">
      <c r="A645" s="42" t="s">
        <v>1314</v>
      </c>
      <c r="B645" s="43">
        <v>2836</v>
      </c>
      <c r="C645" s="43" t="s">
        <v>1315</v>
      </c>
      <c r="D645" s="41" t="str">
        <f t="shared" si="10"/>
        <v>CG002836</v>
      </c>
    </row>
    <row r="646" spans="1:4" ht="17">
      <c r="A646" s="42" t="s">
        <v>1316</v>
      </c>
      <c r="B646" s="43">
        <v>2839</v>
      </c>
      <c r="C646" s="43" t="s">
        <v>1317</v>
      </c>
      <c r="D646" s="41" t="str">
        <f t="shared" si="10"/>
        <v>CG002839</v>
      </c>
    </row>
    <row r="647" spans="1:4" ht="17">
      <c r="A647" s="42" t="s">
        <v>1318</v>
      </c>
      <c r="B647" s="43">
        <v>2840</v>
      </c>
      <c r="C647" s="43" t="s">
        <v>1319</v>
      </c>
      <c r="D647" s="41" t="str">
        <f t="shared" si="10"/>
        <v>CG002840</v>
      </c>
    </row>
    <row r="648" spans="1:4" ht="17">
      <c r="A648" s="42" t="s">
        <v>1320</v>
      </c>
      <c r="B648" s="43">
        <v>2842</v>
      </c>
      <c r="C648" s="43" t="s">
        <v>1321</v>
      </c>
      <c r="D648" s="41" t="str">
        <f t="shared" si="10"/>
        <v>CG002842</v>
      </c>
    </row>
    <row r="649" spans="1:4" ht="17">
      <c r="A649" s="42" t="s">
        <v>1322</v>
      </c>
      <c r="B649" s="43">
        <v>2843</v>
      </c>
      <c r="C649" s="43" t="s">
        <v>1323</v>
      </c>
      <c r="D649" s="41" t="str">
        <f t="shared" si="10"/>
        <v>CG002843</v>
      </c>
    </row>
    <row r="650" spans="1:4" ht="17">
      <c r="A650" s="42" t="s">
        <v>1324</v>
      </c>
      <c r="B650" s="43">
        <v>2844</v>
      </c>
      <c r="C650" s="43" t="s">
        <v>1325</v>
      </c>
      <c r="D650" s="41" t="str">
        <f t="shared" si="10"/>
        <v>CG002844</v>
      </c>
    </row>
    <row r="651" spans="1:4" ht="17">
      <c r="A651" s="42" t="s">
        <v>1326</v>
      </c>
      <c r="B651" s="43">
        <v>2845</v>
      </c>
      <c r="C651" s="43" t="s">
        <v>1327</v>
      </c>
      <c r="D651" s="41" t="str">
        <f t="shared" si="10"/>
        <v>CG002845</v>
      </c>
    </row>
    <row r="652" spans="1:4" ht="17">
      <c r="A652" s="42" t="s">
        <v>1328</v>
      </c>
      <c r="B652" s="43">
        <v>2849</v>
      </c>
      <c r="C652" s="43" t="s">
        <v>1329</v>
      </c>
      <c r="D652" s="41" t="str">
        <f t="shared" si="10"/>
        <v>CG002849</v>
      </c>
    </row>
    <row r="653" spans="1:4" ht="17">
      <c r="A653" s="42" t="s">
        <v>1330</v>
      </c>
      <c r="B653" s="43">
        <v>2850</v>
      </c>
      <c r="C653" s="43" t="s">
        <v>1331</v>
      </c>
      <c r="D653" s="41" t="str">
        <f t="shared" si="10"/>
        <v>CG002850</v>
      </c>
    </row>
    <row r="654" spans="1:4" ht="17">
      <c r="A654" s="42" t="s">
        <v>1332</v>
      </c>
      <c r="B654" s="43">
        <v>2856</v>
      </c>
      <c r="C654" s="43" t="s">
        <v>1333</v>
      </c>
      <c r="D654" s="41" t="str">
        <f t="shared" si="10"/>
        <v>CG002856</v>
      </c>
    </row>
    <row r="655" spans="1:4" ht="17">
      <c r="A655" s="42" t="s">
        <v>1334</v>
      </c>
      <c r="B655" s="43">
        <v>2859</v>
      </c>
      <c r="C655" s="43" t="s">
        <v>1335</v>
      </c>
      <c r="D655" s="41" t="str">
        <f t="shared" si="10"/>
        <v>CG002859</v>
      </c>
    </row>
    <row r="656" spans="1:4" ht="17">
      <c r="A656" s="42" t="s">
        <v>1336</v>
      </c>
      <c r="B656" s="43">
        <v>2863</v>
      </c>
      <c r="C656" s="43" t="s">
        <v>1337</v>
      </c>
      <c r="D656" s="41" t="str">
        <f t="shared" si="10"/>
        <v>CG002863</v>
      </c>
    </row>
    <row r="657" spans="1:4" ht="17">
      <c r="A657" s="42" t="s">
        <v>1338</v>
      </c>
      <c r="B657" s="43">
        <v>2865</v>
      </c>
      <c r="C657" s="43" t="s">
        <v>1339</v>
      </c>
      <c r="D657" s="41" t="str">
        <f t="shared" si="10"/>
        <v>CG002865</v>
      </c>
    </row>
    <row r="658" spans="1:4" ht="17">
      <c r="A658" s="42" t="s">
        <v>1340</v>
      </c>
      <c r="B658" s="43">
        <v>2869</v>
      </c>
      <c r="C658" s="43" t="s">
        <v>1341</v>
      </c>
      <c r="D658" s="41" t="str">
        <f t="shared" si="10"/>
        <v>CG002869</v>
      </c>
    </row>
    <row r="659" spans="1:4" ht="17">
      <c r="A659" s="42" t="s">
        <v>1342</v>
      </c>
      <c r="B659" s="43">
        <v>2872</v>
      </c>
      <c r="C659" s="43" t="s">
        <v>1343</v>
      </c>
      <c r="D659" s="41" t="str">
        <f t="shared" si="10"/>
        <v>CG002872</v>
      </c>
    </row>
    <row r="660" spans="1:4" ht="17">
      <c r="A660" s="42" t="s">
        <v>1344</v>
      </c>
      <c r="B660" s="43">
        <v>2873</v>
      </c>
      <c r="C660" s="43" t="s">
        <v>1345</v>
      </c>
      <c r="D660" s="41" t="str">
        <f t="shared" si="10"/>
        <v>CG002873</v>
      </c>
    </row>
    <row r="661" spans="1:4" ht="17">
      <c r="A661" s="42" t="s">
        <v>1346</v>
      </c>
      <c r="B661" s="43">
        <v>2874</v>
      </c>
      <c r="C661" s="43" t="s">
        <v>1347</v>
      </c>
      <c r="D661" s="41" t="str">
        <f t="shared" si="10"/>
        <v>CG002874</v>
      </c>
    </row>
    <row r="662" spans="1:4" ht="17">
      <c r="A662" s="42" t="s">
        <v>1348</v>
      </c>
      <c r="B662" s="43">
        <v>2875</v>
      </c>
      <c r="C662" s="43" t="s">
        <v>1349</v>
      </c>
      <c r="D662" s="41" t="str">
        <f t="shared" si="10"/>
        <v>CG002875</v>
      </c>
    </row>
    <row r="663" spans="1:4" ht="17">
      <c r="A663" s="42" t="s">
        <v>1350</v>
      </c>
      <c r="B663" s="43">
        <v>2876</v>
      </c>
      <c r="C663" s="43" t="s">
        <v>1351</v>
      </c>
      <c r="D663" s="41" t="str">
        <f t="shared" si="10"/>
        <v>CG002876</v>
      </c>
    </row>
    <row r="664" spans="1:4" ht="17">
      <c r="A664" s="42" t="s">
        <v>1352</v>
      </c>
      <c r="B664" s="43">
        <v>2878</v>
      </c>
      <c r="C664" s="43" t="s">
        <v>1353</v>
      </c>
      <c r="D664" s="41" t="str">
        <f t="shared" si="10"/>
        <v>CG002878</v>
      </c>
    </row>
    <row r="665" spans="1:4" ht="17">
      <c r="A665" s="42" t="s">
        <v>1354</v>
      </c>
      <c r="B665" s="43">
        <v>2880</v>
      </c>
      <c r="C665" s="43" t="s">
        <v>1355</v>
      </c>
      <c r="D665" s="41" t="str">
        <f t="shared" si="10"/>
        <v>CG002880</v>
      </c>
    </row>
    <row r="666" spans="1:4" ht="17">
      <c r="A666" s="42" t="s">
        <v>1356</v>
      </c>
      <c r="B666" s="43">
        <v>2881</v>
      </c>
      <c r="C666" s="43" t="s">
        <v>1357</v>
      </c>
      <c r="D666" s="41" t="str">
        <f t="shared" si="10"/>
        <v>CG002881</v>
      </c>
    </row>
    <row r="667" spans="1:4" ht="17">
      <c r="A667" s="42" t="s">
        <v>1358</v>
      </c>
      <c r="B667" s="43">
        <v>2883</v>
      </c>
      <c r="C667" s="43" t="s">
        <v>1359</v>
      </c>
      <c r="D667" s="41" t="str">
        <f t="shared" si="10"/>
        <v>CG002883</v>
      </c>
    </row>
    <row r="668" spans="1:4" ht="17">
      <c r="A668" s="42" t="s">
        <v>1360</v>
      </c>
      <c r="B668" s="43">
        <v>2884</v>
      </c>
      <c r="C668" s="43" t="s">
        <v>1361</v>
      </c>
      <c r="D668" s="41" t="str">
        <f t="shared" si="10"/>
        <v>CG002884</v>
      </c>
    </row>
    <row r="669" spans="1:4" ht="17">
      <c r="A669" s="42" t="s">
        <v>1362</v>
      </c>
      <c r="B669" s="43">
        <v>2886</v>
      </c>
      <c r="C669" s="43" t="s">
        <v>1363</v>
      </c>
      <c r="D669" s="41" t="str">
        <f t="shared" si="10"/>
        <v>CG002886</v>
      </c>
    </row>
    <row r="670" spans="1:4" ht="17">
      <c r="A670" s="42" t="s">
        <v>1364</v>
      </c>
      <c r="B670" s="43">
        <v>2894</v>
      </c>
      <c r="C670" s="43" t="s">
        <v>1365</v>
      </c>
      <c r="D670" s="41" t="str">
        <f t="shared" si="10"/>
        <v>CG002894</v>
      </c>
    </row>
    <row r="671" spans="1:4" ht="17">
      <c r="A671" s="42" t="s">
        <v>1366</v>
      </c>
      <c r="B671" s="43">
        <v>2896</v>
      </c>
      <c r="C671" s="43" t="s">
        <v>1367</v>
      </c>
      <c r="D671" s="41" t="str">
        <f t="shared" si="10"/>
        <v>CG002896</v>
      </c>
    </row>
    <row r="672" spans="1:4" ht="17">
      <c r="A672" s="42" t="s">
        <v>1368</v>
      </c>
      <c r="B672" s="43">
        <v>2897</v>
      </c>
      <c r="C672" s="43" t="s">
        <v>1369</v>
      </c>
      <c r="D672" s="41" t="str">
        <f t="shared" si="10"/>
        <v>CG002897</v>
      </c>
    </row>
    <row r="673" spans="1:4" ht="17">
      <c r="A673" s="42" t="s">
        <v>1370</v>
      </c>
      <c r="B673" s="43">
        <v>2898</v>
      </c>
      <c r="C673" s="43" t="s">
        <v>1371</v>
      </c>
      <c r="D673" s="41" t="str">
        <f t="shared" si="10"/>
        <v>CG002898</v>
      </c>
    </row>
    <row r="674" spans="1:4" ht="17">
      <c r="A674" s="42" t="s">
        <v>1372</v>
      </c>
      <c r="B674" s="43">
        <v>2899</v>
      </c>
      <c r="C674" s="43" t="s">
        <v>1373</v>
      </c>
      <c r="D674" s="41" t="str">
        <f t="shared" si="10"/>
        <v>CG002899</v>
      </c>
    </row>
    <row r="675" spans="1:4" ht="17">
      <c r="A675" s="42" t="s">
        <v>1374</v>
      </c>
      <c r="B675" s="43">
        <v>2902</v>
      </c>
      <c r="C675" s="43" t="s">
        <v>222</v>
      </c>
      <c r="D675" s="41" t="str">
        <f t="shared" si="10"/>
        <v>CG002902</v>
      </c>
    </row>
    <row r="676" spans="1:4" ht="17">
      <c r="A676" s="42" t="s">
        <v>1375</v>
      </c>
      <c r="B676" s="43">
        <v>2903</v>
      </c>
      <c r="C676" s="43" t="s">
        <v>1376</v>
      </c>
      <c r="D676" s="41" t="str">
        <f t="shared" si="10"/>
        <v>CG002903</v>
      </c>
    </row>
    <row r="677" spans="1:4" ht="17">
      <c r="A677" s="42" t="s">
        <v>1377</v>
      </c>
      <c r="B677" s="43">
        <v>2906</v>
      </c>
      <c r="C677" s="43" t="s">
        <v>1378</v>
      </c>
      <c r="D677" s="41" t="str">
        <f t="shared" si="10"/>
        <v>CG002906</v>
      </c>
    </row>
    <row r="678" spans="1:4" ht="17">
      <c r="A678" s="42" t="s">
        <v>1379</v>
      </c>
      <c r="B678" s="43">
        <v>2907</v>
      </c>
      <c r="C678" s="43" t="s">
        <v>1380</v>
      </c>
      <c r="D678" s="41" t="str">
        <f t="shared" si="10"/>
        <v>CG002907</v>
      </c>
    </row>
    <row r="679" spans="1:4" ht="17">
      <c r="A679" s="42" t="s">
        <v>1381</v>
      </c>
      <c r="B679" s="43">
        <v>2909</v>
      </c>
      <c r="C679" s="43" t="s">
        <v>1382</v>
      </c>
      <c r="D679" s="41" t="str">
        <f t="shared" si="10"/>
        <v>CG002909</v>
      </c>
    </row>
    <row r="680" spans="1:4" ht="17">
      <c r="A680" s="42" t="s">
        <v>1383</v>
      </c>
      <c r="B680" s="43">
        <v>2910</v>
      </c>
      <c r="C680" s="43" t="s">
        <v>1384</v>
      </c>
      <c r="D680" s="41" t="str">
        <f t="shared" si="10"/>
        <v>CG002910</v>
      </c>
    </row>
    <row r="681" spans="1:4" ht="17">
      <c r="A681" s="42" t="s">
        <v>1385</v>
      </c>
      <c r="B681" s="43">
        <v>2911</v>
      </c>
      <c r="C681" s="43" t="s">
        <v>1386</v>
      </c>
      <c r="D681" s="41" t="str">
        <f t="shared" si="10"/>
        <v>CG002911</v>
      </c>
    </row>
    <row r="682" spans="1:4" ht="17">
      <c r="A682" s="42" t="s">
        <v>1387</v>
      </c>
      <c r="B682" s="43">
        <v>2914</v>
      </c>
      <c r="C682" s="43" t="s">
        <v>1388</v>
      </c>
      <c r="D682" s="41" t="str">
        <f t="shared" si="10"/>
        <v>CG002914</v>
      </c>
    </row>
    <row r="683" spans="1:4" ht="17">
      <c r="A683" s="42" t="s">
        <v>1389</v>
      </c>
      <c r="B683" s="43">
        <v>2915</v>
      </c>
      <c r="C683" s="43" t="s">
        <v>1390</v>
      </c>
      <c r="D683" s="41" t="str">
        <f t="shared" si="10"/>
        <v>CG002915</v>
      </c>
    </row>
    <row r="684" spans="1:4" ht="17">
      <c r="A684" s="42" t="s">
        <v>1391</v>
      </c>
      <c r="B684" s="43">
        <v>2917</v>
      </c>
      <c r="C684" s="43" t="s">
        <v>1392</v>
      </c>
      <c r="D684" s="41" t="str">
        <f t="shared" si="10"/>
        <v>CG002917</v>
      </c>
    </row>
    <row r="685" spans="1:4" ht="17">
      <c r="A685" s="42" t="s">
        <v>1393</v>
      </c>
      <c r="B685" s="43">
        <v>2920</v>
      </c>
      <c r="C685" s="43" t="s">
        <v>1394</v>
      </c>
      <c r="D685" s="41" t="str">
        <f t="shared" si="10"/>
        <v>CG002920</v>
      </c>
    </row>
    <row r="686" spans="1:4" ht="17">
      <c r="A686" s="42" t="s">
        <v>1395</v>
      </c>
      <c r="B686" s="43">
        <v>2921</v>
      </c>
      <c r="C686" s="43" t="s">
        <v>1396</v>
      </c>
      <c r="D686" s="41" t="str">
        <f t="shared" si="10"/>
        <v>CG002921</v>
      </c>
    </row>
    <row r="687" spans="1:4" ht="17">
      <c r="A687" s="42" t="s">
        <v>1397</v>
      </c>
      <c r="B687" s="43">
        <v>2924</v>
      </c>
      <c r="C687" s="43" t="s">
        <v>1398</v>
      </c>
      <c r="D687" s="41" t="str">
        <f t="shared" si="10"/>
        <v>CG002924</v>
      </c>
    </row>
    <row r="688" spans="1:4" ht="17">
      <c r="A688" s="42" t="s">
        <v>1399</v>
      </c>
      <c r="B688" s="43">
        <v>2929</v>
      </c>
      <c r="C688" s="43" t="s">
        <v>1400</v>
      </c>
      <c r="D688" s="41" t="str">
        <f t="shared" si="10"/>
        <v>CG002929</v>
      </c>
    </row>
    <row r="689" spans="1:4" ht="17">
      <c r="A689" s="42" t="s">
        <v>1401</v>
      </c>
      <c r="B689" s="43">
        <v>2931</v>
      </c>
      <c r="C689" s="43" t="s">
        <v>1402</v>
      </c>
      <c r="D689" s="41" t="str">
        <f t="shared" si="10"/>
        <v>CG002931</v>
      </c>
    </row>
    <row r="690" spans="1:4" ht="17">
      <c r="A690" s="42" t="s">
        <v>1403</v>
      </c>
      <c r="B690" s="43">
        <v>2932</v>
      </c>
      <c r="C690" s="43" t="s">
        <v>1404</v>
      </c>
      <c r="D690" s="41" t="str">
        <f t="shared" si="10"/>
        <v>CG002932</v>
      </c>
    </row>
    <row r="691" spans="1:4" ht="17">
      <c r="A691" s="42" t="s">
        <v>1405</v>
      </c>
      <c r="B691" s="43">
        <v>2933</v>
      </c>
      <c r="C691" s="43" t="s">
        <v>1406</v>
      </c>
      <c r="D691" s="41" t="str">
        <f t="shared" si="10"/>
        <v>CG002933</v>
      </c>
    </row>
    <row r="692" spans="1:4" ht="17">
      <c r="A692" s="42" t="s">
        <v>1407</v>
      </c>
      <c r="B692" s="43">
        <v>2935</v>
      </c>
      <c r="C692" s="43" t="s">
        <v>1408</v>
      </c>
      <c r="D692" s="41" t="str">
        <f t="shared" si="10"/>
        <v>CG002935</v>
      </c>
    </row>
    <row r="693" spans="1:4" ht="17">
      <c r="A693" s="42" t="s">
        <v>1409</v>
      </c>
      <c r="B693" s="43">
        <v>2936</v>
      </c>
      <c r="C693" s="43" t="s">
        <v>1410</v>
      </c>
      <c r="D693" s="41" t="str">
        <f t="shared" si="10"/>
        <v>CG002936</v>
      </c>
    </row>
    <row r="694" spans="1:4" ht="17">
      <c r="A694" s="42" t="s">
        <v>1411</v>
      </c>
      <c r="B694" s="43">
        <v>2941</v>
      </c>
      <c r="C694" s="43" t="s">
        <v>1412</v>
      </c>
      <c r="D694" s="41" t="str">
        <f t="shared" si="10"/>
        <v>CG002941</v>
      </c>
    </row>
    <row r="695" spans="1:4" ht="17">
      <c r="A695" s="42" t="s">
        <v>1413</v>
      </c>
      <c r="B695" s="43">
        <v>2945</v>
      </c>
      <c r="C695" s="43" t="s">
        <v>1414</v>
      </c>
      <c r="D695" s="41" t="str">
        <f t="shared" si="10"/>
        <v>CG002945</v>
      </c>
    </row>
    <row r="696" spans="1:4" ht="17">
      <c r="A696" s="42" t="s">
        <v>1415</v>
      </c>
      <c r="B696" s="43">
        <v>2957</v>
      </c>
      <c r="C696" s="43" t="s">
        <v>1416</v>
      </c>
      <c r="D696" s="41" t="str">
        <f t="shared" si="10"/>
        <v>CG002957</v>
      </c>
    </row>
    <row r="697" spans="1:4" ht="17">
      <c r="A697" s="42" t="s">
        <v>1417</v>
      </c>
      <c r="B697" s="43">
        <v>2958</v>
      </c>
      <c r="C697" s="43" t="s">
        <v>1418</v>
      </c>
      <c r="D697" s="41" t="str">
        <f t="shared" si="10"/>
        <v>CG002958</v>
      </c>
    </row>
    <row r="698" spans="1:4" ht="17">
      <c r="A698" s="42" t="s">
        <v>1419</v>
      </c>
      <c r="B698" s="43">
        <v>2963</v>
      </c>
      <c r="C698" s="43" t="s">
        <v>1420</v>
      </c>
      <c r="D698" s="41" t="str">
        <f t="shared" si="10"/>
        <v>CG002963</v>
      </c>
    </row>
    <row r="699" spans="1:4" ht="17">
      <c r="A699" s="42" t="s">
        <v>1421</v>
      </c>
      <c r="B699" s="43">
        <v>2966</v>
      </c>
      <c r="C699" s="43" t="s">
        <v>1422</v>
      </c>
      <c r="D699" s="41" t="str">
        <f t="shared" si="10"/>
        <v>CG002966</v>
      </c>
    </row>
    <row r="700" spans="1:4" ht="17">
      <c r="A700" s="42" t="s">
        <v>1423</v>
      </c>
      <c r="B700" s="43">
        <v>2974</v>
      </c>
      <c r="C700" s="43" t="s">
        <v>1424</v>
      </c>
      <c r="D700" s="41" t="str">
        <f t="shared" si="10"/>
        <v>CG002974</v>
      </c>
    </row>
    <row r="701" spans="1:4" ht="17">
      <c r="A701" s="42" t="s">
        <v>1425</v>
      </c>
      <c r="B701" s="43">
        <v>2976</v>
      </c>
      <c r="C701" s="43" t="s">
        <v>1426</v>
      </c>
      <c r="D701" s="41" t="str">
        <f t="shared" si="10"/>
        <v>CG002976</v>
      </c>
    </row>
    <row r="702" spans="1:4" ht="17">
      <c r="A702" s="42" t="s">
        <v>1427</v>
      </c>
      <c r="B702" s="43">
        <v>2978</v>
      </c>
      <c r="C702" s="43" t="s">
        <v>1428</v>
      </c>
      <c r="D702" s="41" t="str">
        <f t="shared" si="10"/>
        <v>CG002978</v>
      </c>
    </row>
    <row r="703" spans="1:4" ht="17">
      <c r="A703" s="42" t="s">
        <v>1429</v>
      </c>
      <c r="B703" s="43">
        <v>2979</v>
      </c>
      <c r="C703" s="43" t="s">
        <v>1430</v>
      </c>
      <c r="D703" s="41" t="str">
        <f t="shared" si="10"/>
        <v>CG002979</v>
      </c>
    </row>
    <row r="704" spans="1:4" ht="17">
      <c r="A704" s="42" t="s">
        <v>1431</v>
      </c>
      <c r="B704" s="43">
        <v>2981</v>
      </c>
      <c r="C704" s="43" t="s">
        <v>1432</v>
      </c>
      <c r="D704" s="41" t="str">
        <f t="shared" si="10"/>
        <v>CG002981</v>
      </c>
    </row>
    <row r="705" spans="1:4" ht="17">
      <c r="A705" s="42" t="s">
        <v>1433</v>
      </c>
      <c r="B705" s="43">
        <v>2984</v>
      </c>
      <c r="C705" s="43" t="s">
        <v>1434</v>
      </c>
      <c r="D705" s="41" t="str">
        <f t="shared" si="10"/>
        <v>CG002984</v>
      </c>
    </row>
    <row r="706" spans="1:4" ht="17">
      <c r="A706" s="42" t="s">
        <v>1435</v>
      </c>
      <c r="B706" s="43">
        <v>2985</v>
      </c>
      <c r="C706" s="43" t="s">
        <v>1436</v>
      </c>
      <c r="D706" s="41" t="str">
        <f t="shared" si="10"/>
        <v>CG002985</v>
      </c>
    </row>
    <row r="707" spans="1:4" ht="17">
      <c r="A707" s="42" t="s">
        <v>1437</v>
      </c>
      <c r="B707" s="43">
        <v>2990</v>
      </c>
      <c r="C707" s="43" t="s">
        <v>1438</v>
      </c>
      <c r="D707" s="41" t="str">
        <f t="shared" ref="D707:D770" si="11">TEXT(A707,"00000000")</f>
        <v>CG002990</v>
      </c>
    </row>
    <row r="708" spans="1:4" ht="17">
      <c r="A708" s="42" t="s">
        <v>1439</v>
      </c>
      <c r="B708" s="43">
        <v>2998</v>
      </c>
      <c r="C708" s="43" t="s">
        <v>1440</v>
      </c>
      <c r="D708" s="41" t="str">
        <f t="shared" si="11"/>
        <v>CG002998</v>
      </c>
    </row>
    <row r="709" spans="1:4" ht="17">
      <c r="A709" s="42" t="s">
        <v>1441</v>
      </c>
      <c r="B709" s="43">
        <v>3001</v>
      </c>
      <c r="C709" s="43" t="s">
        <v>1442</v>
      </c>
      <c r="D709" s="41" t="str">
        <f t="shared" si="11"/>
        <v>CG003001</v>
      </c>
    </row>
    <row r="710" spans="1:4" ht="17">
      <c r="A710" s="42" t="s">
        <v>1443</v>
      </c>
      <c r="B710" s="43">
        <v>3002</v>
      </c>
      <c r="C710" s="43" t="s">
        <v>1444</v>
      </c>
      <c r="D710" s="41" t="str">
        <f t="shared" si="11"/>
        <v>CG003002</v>
      </c>
    </row>
    <row r="711" spans="1:4" ht="17">
      <c r="A711" s="42" t="s">
        <v>1445</v>
      </c>
      <c r="B711" s="43">
        <v>3003</v>
      </c>
      <c r="C711" s="43" t="s">
        <v>1446</v>
      </c>
      <c r="D711" s="41" t="str">
        <f t="shared" si="11"/>
        <v>CG003003</v>
      </c>
    </row>
    <row r="712" spans="1:4" ht="17">
      <c r="A712" s="42" t="s">
        <v>1447</v>
      </c>
      <c r="B712" s="43">
        <v>3007</v>
      </c>
      <c r="C712" s="43" t="s">
        <v>1448</v>
      </c>
      <c r="D712" s="41" t="str">
        <f t="shared" si="11"/>
        <v>CG003007</v>
      </c>
    </row>
    <row r="713" spans="1:4" ht="17">
      <c r="A713" s="42" t="s">
        <v>1449</v>
      </c>
      <c r="B713" s="43">
        <v>3009</v>
      </c>
      <c r="C713" s="43" t="s">
        <v>1450</v>
      </c>
      <c r="D713" s="41" t="str">
        <f t="shared" si="11"/>
        <v>CG003009</v>
      </c>
    </row>
    <row r="714" spans="1:4" ht="17">
      <c r="A714" s="42" t="s">
        <v>1451</v>
      </c>
      <c r="B714" s="43">
        <v>3010</v>
      </c>
      <c r="C714" s="43" t="s">
        <v>1452</v>
      </c>
      <c r="D714" s="41" t="str">
        <f t="shared" si="11"/>
        <v>CG003010</v>
      </c>
    </row>
    <row r="715" spans="1:4" ht="17">
      <c r="A715" s="42" t="s">
        <v>1453</v>
      </c>
      <c r="B715" s="43">
        <v>3012</v>
      </c>
      <c r="C715" s="43" t="s">
        <v>1454</v>
      </c>
      <c r="D715" s="41" t="str">
        <f t="shared" si="11"/>
        <v>CG003012</v>
      </c>
    </row>
    <row r="716" spans="1:4" ht="17">
      <c r="A716" s="42" t="s">
        <v>1455</v>
      </c>
      <c r="B716" s="43">
        <v>3013</v>
      </c>
      <c r="C716" s="43" t="s">
        <v>1456</v>
      </c>
      <c r="D716" s="41" t="str">
        <f t="shared" si="11"/>
        <v>CG003013</v>
      </c>
    </row>
    <row r="717" spans="1:4" ht="17">
      <c r="A717" s="42" t="s">
        <v>1457</v>
      </c>
      <c r="B717" s="43">
        <v>3016</v>
      </c>
      <c r="C717" s="43" t="s">
        <v>1458</v>
      </c>
      <c r="D717" s="41" t="str">
        <f t="shared" si="11"/>
        <v>CG003016</v>
      </c>
    </row>
    <row r="718" spans="1:4" ht="17">
      <c r="A718" s="42" t="s">
        <v>1459</v>
      </c>
      <c r="B718" s="43">
        <v>3017</v>
      </c>
      <c r="C718" s="43" t="s">
        <v>1460</v>
      </c>
      <c r="D718" s="41" t="str">
        <f t="shared" si="11"/>
        <v>CG003017</v>
      </c>
    </row>
    <row r="719" spans="1:4" ht="17">
      <c r="A719" s="42" t="s">
        <v>1461</v>
      </c>
      <c r="B719" s="43">
        <v>3021</v>
      </c>
      <c r="C719" s="43" t="s">
        <v>818</v>
      </c>
      <c r="D719" s="41" t="str">
        <f t="shared" si="11"/>
        <v>CG003021</v>
      </c>
    </row>
    <row r="720" spans="1:4" ht="17">
      <c r="A720" s="42" t="s">
        <v>1462</v>
      </c>
      <c r="B720" s="43">
        <v>3023</v>
      </c>
      <c r="C720" s="43" t="s">
        <v>1463</v>
      </c>
      <c r="D720" s="41" t="str">
        <f t="shared" si="11"/>
        <v>CG003023</v>
      </c>
    </row>
    <row r="721" spans="1:4" ht="17">
      <c r="A721" s="42" t="s">
        <v>1464</v>
      </c>
      <c r="B721" s="43">
        <v>3024</v>
      </c>
      <c r="C721" s="43" t="s">
        <v>1465</v>
      </c>
      <c r="D721" s="41" t="str">
        <f t="shared" si="11"/>
        <v>CG003024</v>
      </c>
    </row>
    <row r="722" spans="1:4" ht="17">
      <c r="A722" s="42" t="s">
        <v>1466</v>
      </c>
      <c r="B722" s="43">
        <v>3027</v>
      </c>
      <c r="C722" s="43" t="s">
        <v>1467</v>
      </c>
      <c r="D722" s="41" t="str">
        <f t="shared" si="11"/>
        <v>CG003027</v>
      </c>
    </row>
    <row r="723" spans="1:4" ht="17">
      <c r="A723" s="42" t="s">
        <v>1468</v>
      </c>
      <c r="B723" s="43">
        <v>3039</v>
      </c>
      <c r="C723" s="43" t="s">
        <v>1469</v>
      </c>
      <c r="D723" s="41" t="str">
        <f t="shared" si="11"/>
        <v>CG003039</v>
      </c>
    </row>
    <row r="724" spans="1:4" ht="17">
      <c r="A724" s="42" t="s">
        <v>1470</v>
      </c>
      <c r="B724" s="43">
        <v>3043</v>
      </c>
      <c r="C724" s="43" t="s">
        <v>1471</v>
      </c>
      <c r="D724" s="41" t="str">
        <f t="shared" si="11"/>
        <v>CG003043</v>
      </c>
    </row>
    <row r="725" spans="1:4" ht="17">
      <c r="A725" s="42" t="s">
        <v>1472</v>
      </c>
      <c r="B725" s="43">
        <v>3045</v>
      </c>
      <c r="C725" s="43" t="s">
        <v>663</v>
      </c>
      <c r="D725" s="41" t="str">
        <f t="shared" si="11"/>
        <v>CG003045</v>
      </c>
    </row>
    <row r="726" spans="1:4" ht="17">
      <c r="A726" s="42" t="s">
        <v>1473</v>
      </c>
      <c r="B726" s="43">
        <v>3048</v>
      </c>
      <c r="C726" s="43" t="s">
        <v>1474</v>
      </c>
      <c r="D726" s="41" t="str">
        <f t="shared" si="11"/>
        <v>CG003048</v>
      </c>
    </row>
    <row r="727" spans="1:4" ht="17">
      <c r="A727" s="42" t="s">
        <v>1475</v>
      </c>
      <c r="B727" s="43">
        <v>3050</v>
      </c>
      <c r="C727" s="43" t="s">
        <v>1476</v>
      </c>
      <c r="D727" s="41" t="str">
        <f t="shared" si="11"/>
        <v>CG003050</v>
      </c>
    </row>
    <row r="728" spans="1:4" ht="17">
      <c r="A728" s="42" t="s">
        <v>1477</v>
      </c>
      <c r="B728" s="43">
        <v>3051</v>
      </c>
      <c r="C728" s="43" t="s">
        <v>1478</v>
      </c>
      <c r="D728" s="41" t="str">
        <f t="shared" si="11"/>
        <v>CG003051</v>
      </c>
    </row>
    <row r="729" spans="1:4" ht="17">
      <c r="A729" s="42" t="s">
        <v>1479</v>
      </c>
      <c r="B729" s="43">
        <v>3053</v>
      </c>
      <c r="C729" s="43" t="s">
        <v>1480</v>
      </c>
      <c r="D729" s="41" t="str">
        <f t="shared" si="11"/>
        <v>CG003053</v>
      </c>
    </row>
    <row r="730" spans="1:4" ht="17">
      <c r="A730" s="42" t="s">
        <v>1481</v>
      </c>
      <c r="B730" s="43">
        <v>3058</v>
      </c>
      <c r="C730" s="43" t="s">
        <v>1482</v>
      </c>
      <c r="D730" s="41" t="str">
        <f t="shared" si="11"/>
        <v>CG003058</v>
      </c>
    </row>
    <row r="731" spans="1:4" ht="17">
      <c r="A731" s="42" t="s">
        <v>1483</v>
      </c>
      <c r="B731" s="43">
        <v>3061</v>
      </c>
      <c r="C731" s="43" t="s">
        <v>1484</v>
      </c>
      <c r="D731" s="41" t="str">
        <f t="shared" si="11"/>
        <v>CG003061</v>
      </c>
    </row>
    <row r="732" spans="1:4" ht="17">
      <c r="A732" s="42" t="s">
        <v>1485</v>
      </c>
      <c r="B732" s="43">
        <v>3063</v>
      </c>
      <c r="C732" s="43" t="s">
        <v>1486</v>
      </c>
      <c r="D732" s="41" t="str">
        <f t="shared" si="11"/>
        <v>CG003063</v>
      </c>
    </row>
    <row r="733" spans="1:4" ht="17">
      <c r="A733" s="42" t="s">
        <v>1487</v>
      </c>
      <c r="B733" s="43">
        <v>3064</v>
      </c>
      <c r="C733" s="43" t="s">
        <v>1488</v>
      </c>
      <c r="D733" s="41" t="str">
        <f t="shared" si="11"/>
        <v>CG003064</v>
      </c>
    </row>
    <row r="734" spans="1:4" ht="17">
      <c r="A734" s="42" t="s">
        <v>1489</v>
      </c>
      <c r="B734" s="43">
        <v>3065</v>
      </c>
      <c r="C734" s="43" t="s">
        <v>1490</v>
      </c>
      <c r="D734" s="41" t="str">
        <f t="shared" si="11"/>
        <v>CG003065</v>
      </c>
    </row>
    <row r="735" spans="1:4" ht="17">
      <c r="A735" s="42" t="s">
        <v>1491</v>
      </c>
      <c r="B735" s="43">
        <v>3068</v>
      </c>
      <c r="C735" s="43" t="s">
        <v>1492</v>
      </c>
      <c r="D735" s="41" t="str">
        <f t="shared" si="11"/>
        <v>CG003068</v>
      </c>
    </row>
    <row r="736" spans="1:4" ht="17">
      <c r="A736" s="42" t="s">
        <v>1493</v>
      </c>
      <c r="B736" s="43">
        <v>3069</v>
      </c>
      <c r="C736" s="43" t="s">
        <v>1494</v>
      </c>
      <c r="D736" s="41" t="str">
        <f t="shared" si="11"/>
        <v>CG003069</v>
      </c>
    </row>
    <row r="737" spans="1:4" ht="17">
      <c r="A737" s="42" t="s">
        <v>1495</v>
      </c>
      <c r="B737" s="43">
        <v>3072</v>
      </c>
      <c r="C737" s="43" t="s">
        <v>1496</v>
      </c>
      <c r="D737" s="41" t="str">
        <f t="shared" si="11"/>
        <v>CG003072</v>
      </c>
    </row>
    <row r="738" spans="1:4" ht="17">
      <c r="A738" s="42" t="s">
        <v>1497</v>
      </c>
      <c r="B738" s="43">
        <v>3074</v>
      </c>
      <c r="C738" s="43" t="s">
        <v>1498</v>
      </c>
      <c r="D738" s="41" t="str">
        <f t="shared" si="11"/>
        <v>CG003074</v>
      </c>
    </row>
    <row r="739" spans="1:4" ht="17">
      <c r="A739" s="42" t="s">
        <v>1499</v>
      </c>
      <c r="B739" s="43">
        <v>3076</v>
      </c>
      <c r="C739" s="43" t="s">
        <v>1500</v>
      </c>
      <c r="D739" s="41" t="str">
        <f t="shared" si="11"/>
        <v>CG003076</v>
      </c>
    </row>
    <row r="740" spans="1:4" ht="17">
      <c r="A740" s="42" t="s">
        <v>1501</v>
      </c>
      <c r="B740" s="43">
        <v>3078</v>
      </c>
      <c r="C740" s="43" t="s">
        <v>1502</v>
      </c>
      <c r="D740" s="41" t="str">
        <f t="shared" si="11"/>
        <v>CG003078</v>
      </c>
    </row>
    <row r="741" spans="1:4" ht="17">
      <c r="A741" s="42" t="s">
        <v>1503</v>
      </c>
      <c r="B741" s="43">
        <v>3079</v>
      </c>
      <c r="C741" s="43" t="s">
        <v>1504</v>
      </c>
      <c r="D741" s="41" t="str">
        <f t="shared" si="11"/>
        <v>CG003079</v>
      </c>
    </row>
    <row r="742" spans="1:4" ht="17">
      <c r="A742" s="42" t="s">
        <v>1505</v>
      </c>
      <c r="B742" s="43">
        <v>3080</v>
      </c>
      <c r="C742" s="43" t="s">
        <v>1506</v>
      </c>
      <c r="D742" s="41" t="str">
        <f t="shared" si="11"/>
        <v>CG003080</v>
      </c>
    </row>
    <row r="743" spans="1:4" ht="17">
      <c r="A743" s="42" t="s">
        <v>1507</v>
      </c>
      <c r="B743" s="43">
        <v>3081</v>
      </c>
      <c r="C743" s="43" t="s">
        <v>1508</v>
      </c>
      <c r="D743" s="41" t="str">
        <f t="shared" si="11"/>
        <v>CG003081</v>
      </c>
    </row>
    <row r="744" spans="1:4" ht="17">
      <c r="A744" s="42" t="s">
        <v>1509</v>
      </c>
      <c r="B744" s="43">
        <v>3084</v>
      </c>
      <c r="C744" s="43" t="s">
        <v>1510</v>
      </c>
      <c r="D744" s="41" t="str">
        <f t="shared" si="11"/>
        <v>CG003084</v>
      </c>
    </row>
    <row r="745" spans="1:4" ht="17">
      <c r="A745" s="42" t="s">
        <v>1511</v>
      </c>
      <c r="B745" s="43">
        <v>3086</v>
      </c>
      <c r="C745" s="43" t="s">
        <v>1512</v>
      </c>
      <c r="D745" s="41" t="str">
        <f t="shared" si="11"/>
        <v>CG003086</v>
      </c>
    </row>
    <row r="746" spans="1:4" ht="17">
      <c r="A746" s="42" t="s">
        <v>1513</v>
      </c>
      <c r="B746" s="43">
        <v>3088</v>
      </c>
      <c r="C746" s="43" t="s">
        <v>1514</v>
      </c>
      <c r="D746" s="41" t="str">
        <f t="shared" si="11"/>
        <v>CG003088</v>
      </c>
    </row>
    <row r="747" spans="1:4" ht="17">
      <c r="A747" s="42" t="s">
        <v>1515</v>
      </c>
      <c r="B747" s="43">
        <v>3090</v>
      </c>
      <c r="C747" s="43" t="s">
        <v>1516</v>
      </c>
      <c r="D747" s="41" t="str">
        <f t="shared" si="11"/>
        <v>CG003090</v>
      </c>
    </row>
    <row r="748" spans="1:4" ht="17">
      <c r="A748" s="42" t="s">
        <v>1517</v>
      </c>
      <c r="B748" s="43">
        <v>3093</v>
      </c>
      <c r="C748" s="43" t="s">
        <v>1518</v>
      </c>
      <c r="D748" s="41" t="str">
        <f t="shared" si="11"/>
        <v>CG003093</v>
      </c>
    </row>
    <row r="749" spans="1:4" ht="17">
      <c r="A749" s="42" t="s">
        <v>1519</v>
      </c>
      <c r="B749" s="43">
        <v>3097</v>
      </c>
      <c r="C749" s="43" t="s">
        <v>1520</v>
      </c>
      <c r="D749" s="41" t="str">
        <f t="shared" si="11"/>
        <v>CG003097</v>
      </c>
    </row>
    <row r="750" spans="1:4" ht="17">
      <c r="A750" s="42" t="s">
        <v>1521</v>
      </c>
      <c r="B750" s="43">
        <v>3098</v>
      </c>
      <c r="C750" s="43" t="s">
        <v>1522</v>
      </c>
      <c r="D750" s="41" t="str">
        <f t="shared" si="11"/>
        <v>KO003098</v>
      </c>
    </row>
    <row r="751" spans="1:4" ht="17">
      <c r="A751" s="42" t="s">
        <v>1523</v>
      </c>
      <c r="B751" s="43">
        <v>3101</v>
      </c>
      <c r="C751" s="43" t="s">
        <v>1524</v>
      </c>
      <c r="D751" s="41" t="str">
        <f t="shared" si="11"/>
        <v>CG003101</v>
      </c>
    </row>
    <row r="752" spans="1:4" ht="17">
      <c r="A752" s="42" t="s">
        <v>1525</v>
      </c>
      <c r="B752" s="43">
        <v>3102</v>
      </c>
      <c r="C752" s="43" t="s">
        <v>1526</v>
      </c>
      <c r="D752" s="41" t="str">
        <f t="shared" si="11"/>
        <v>CG003102</v>
      </c>
    </row>
    <row r="753" spans="1:4" ht="17">
      <c r="A753" s="42" t="s">
        <v>1527</v>
      </c>
      <c r="B753" s="43">
        <v>3106</v>
      </c>
      <c r="C753" s="43" t="s">
        <v>1528</v>
      </c>
      <c r="D753" s="41" t="str">
        <f t="shared" si="11"/>
        <v>CG003106</v>
      </c>
    </row>
    <row r="754" spans="1:4" ht="17">
      <c r="A754" s="42" t="s">
        <v>1529</v>
      </c>
      <c r="B754" s="43">
        <v>3108</v>
      </c>
      <c r="C754" s="43" t="s">
        <v>1530</v>
      </c>
      <c r="D754" s="41" t="str">
        <f t="shared" si="11"/>
        <v>KO003108</v>
      </c>
    </row>
    <row r="755" spans="1:4" ht="17">
      <c r="A755" s="42" t="s">
        <v>1531</v>
      </c>
      <c r="B755" s="43">
        <v>3109</v>
      </c>
      <c r="C755" s="43" t="s">
        <v>1532</v>
      </c>
      <c r="D755" s="41" t="str">
        <f t="shared" si="11"/>
        <v>KO003109</v>
      </c>
    </row>
    <row r="756" spans="1:4" ht="17">
      <c r="A756" s="42" t="s">
        <v>1533</v>
      </c>
      <c r="B756" s="43">
        <v>3111</v>
      </c>
      <c r="C756" s="43" t="s">
        <v>1534</v>
      </c>
      <c r="D756" s="41" t="str">
        <f t="shared" si="11"/>
        <v>KO003111</v>
      </c>
    </row>
    <row r="757" spans="1:4" ht="17">
      <c r="A757" s="42" t="s">
        <v>1535</v>
      </c>
      <c r="B757" s="43">
        <v>3112</v>
      </c>
      <c r="C757" s="43" t="s">
        <v>1536</v>
      </c>
      <c r="D757" s="41" t="str">
        <f t="shared" si="11"/>
        <v>KO003112</v>
      </c>
    </row>
    <row r="758" spans="1:4" ht="17">
      <c r="A758" s="42" t="s">
        <v>1537</v>
      </c>
      <c r="B758" s="43">
        <v>3114</v>
      </c>
      <c r="C758" s="43" t="s">
        <v>1538</v>
      </c>
      <c r="D758" s="41" t="str">
        <f t="shared" si="11"/>
        <v>KO003114</v>
      </c>
    </row>
    <row r="759" spans="1:4" ht="17">
      <c r="A759" s="42" t="s">
        <v>1539</v>
      </c>
      <c r="B759" s="43">
        <v>3115</v>
      </c>
      <c r="C759" s="43" t="s">
        <v>1540</v>
      </c>
      <c r="D759" s="41" t="str">
        <f t="shared" si="11"/>
        <v>KO003115</v>
      </c>
    </row>
    <row r="760" spans="1:4" ht="17">
      <c r="A760" s="42" t="s">
        <v>1541</v>
      </c>
      <c r="B760" s="43">
        <v>3116</v>
      </c>
      <c r="C760" s="43" t="s">
        <v>1542</v>
      </c>
      <c r="D760" s="41" t="str">
        <f t="shared" si="11"/>
        <v>KO003116</v>
      </c>
    </row>
    <row r="761" spans="1:4" ht="17">
      <c r="A761" s="42" t="s">
        <v>1543</v>
      </c>
      <c r="B761" s="43">
        <v>3118</v>
      </c>
      <c r="C761" s="43" t="s">
        <v>1544</v>
      </c>
      <c r="D761" s="41" t="str">
        <f t="shared" si="11"/>
        <v>KO003118</v>
      </c>
    </row>
    <row r="762" spans="1:4" ht="17">
      <c r="A762" s="42" t="s">
        <v>1545</v>
      </c>
      <c r="B762" s="43">
        <v>3119</v>
      </c>
      <c r="C762" s="43" t="s">
        <v>1546</v>
      </c>
      <c r="D762" s="41" t="str">
        <f t="shared" si="11"/>
        <v>KO003119</v>
      </c>
    </row>
    <row r="763" spans="1:4" ht="17">
      <c r="A763" s="42" t="s">
        <v>1547</v>
      </c>
      <c r="B763" s="43">
        <v>3120</v>
      </c>
      <c r="C763" s="43" t="s">
        <v>1548</v>
      </c>
      <c r="D763" s="41" t="str">
        <f t="shared" si="11"/>
        <v>KO003120</v>
      </c>
    </row>
    <row r="764" spans="1:4" ht="17">
      <c r="A764" s="42" t="s">
        <v>1549</v>
      </c>
      <c r="B764" s="43">
        <v>3122</v>
      </c>
      <c r="C764" s="43" t="s">
        <v>1550</v>
      </c>
      <c r="D764" s="41" t="str">
        <f t="shared" si="11"/>
        <v>CG003122</v>
      </c>
    </row>
    <row r="765" spans="1:4" ht="17">
      <c r="A765" s="42" t="s">
        <v>1551</v>
      </c>
      <c r="B765" s="43">
        <v>3123</v>
      </c>
      <c r="C765" s="43" t="s">
        <v>1552</v>
      </c>
      <c r="D765" s="41" t="str">
        <f t="shared" si="11"/>
        <v>CG003123</v>
      </c>
    </row>
    <row r="766" spans="1:4" ht="17">
      <c r="A766" s="42" t="s">
        <v>1553</v>
      </c>
      <c r="B766" s="43">
        <v>3130</v>
      </c>
      <c r="C766" s="43" t="s">
        <v>1554</v>
      </c>
      <c r="D766" s="41" t="str">
        <f t="shared" si="11"/>
        <v>CG003130</v>
      </c>
    </row>
    <row r="767" spans="1:4" ht="17">
      <c r="A767" s="42" t="s">
        <v>1555</v>
      </c>
      <c r="B767" s="43">
        <v>3141</v>
      </c>
      <c r="C767" s="43" t="s">
        <v>1556</v>
      </c>
      <c r="D767" s="41" t="str">
        <f t="shared" si="11"/>
        <v>CG003141</v>
      </c>
    </row>
    <row r="768" spans="1:4" ht="17">
      <c r="A768" s="42" t="s">
        <v>1557</v>
      </c>
      <c r="B768" s="43">
        <v>3143</v>
      </c>
      <c r="C768" s="43" t="s">
        <v>1558</v>
      </c>
      <c r="D768" s="41" t="str">
        <f t="shared" si="11"/>
        <v>CG003143</v>
      </c>
    </row>
    <row r="769" spans="1:4" ht="17">
      <c r="A769" s="42" t="s">
        <v>1559</v>
      </c>
      <c r="B769" s="43">
        <v>3147</v>
      </c>
      <c r="C769" s="43" t="s">
        <v>1560</v>
      </c>
      <c r="D769" s="41" t="str">
        <f t="shared" si="11"/>
        <v>CG003147</v>
      </c>
    </row>
    <row r="770" spans="1:4" ht="17">
      <c r="A770" s="42" t="s">
        <v>1561</v>
      </c>
      <c r="B770" s="43">
        <v>3149</v>
      </c>
      <c r="C770" s="43" t="s">
        <v>1562</v>
      </c>
      <c r="D770" s="41" t="str">
        <f t="shared" si="11"/>
        <v>CG003149</v>
      </c>
    </row>
    <row r="771" spans="1:4" ht="17">
      <c r="A771" s="42" t="s">
        <v>1563</v>
      </c>
      <c r="B771" s="43">
        <v>3151</v>
      </c>
      <c r="C771" s="43" t="s">
        <v>1564</v>
      </c>
      <c r="D771" s="41" t="str">
        <f t="shared" ref="D771:D834" si="12">TEXT(A771,"00000000")</f>
        <v>CG003151</v>
      </c>
    </row>
    <row r="772" spans="1:4" ht="17">
      <c r="A772" s="42" t="s">
        <v>1565</v>
      </c>
      <c r="B772" s="43">
        <v>3152</v>
      </c>
      <c r="C772" s="43" t="s">
        <v>1566</v>
      </c>
      <c r="D772" s="41" t="str">
        <f t="shared" si="12"/>
        <v>CG003152</v>
      </c>
    </row>
    <row r="773" spans="1:4" ht="17">
      <c r="A773" s="42" t="s">
        <v>1567</v>
      </c>
      <c r="B773" s="43">
        <v>3156</v>
      </c>
      <c r="C773" s="43" t="s">
        <v>1568</v>
      </c>
      <c r="D773" s="41" t="str">
        <f t="shared" si="12"/>
        <v>CG003156</v>
      </c>
    </row>
    <row r="774" spans="1:4" ht="17">
      <c r="A774" s="42" t="s">
        <v>1569</v>
      </c>
      <c r="B774" s="43">
        <v>3159</v>
      </c>
      <c r="C774" s="43" t="s">
        <v>1570</v>
      </c>
      <c r="D774" s="41" t="str">
        <f t="shared" si="12"/>
        <v>CG003159</v>
      </c>
    </row>
    <row r="775" spans="1:4" ht="17">
      <c r="A775" s="42" t="s">
        <v>1571</v>
      </c>
      <c r="B775" s="43">
        <v>3160</v>
      </c>
      <c r="C775" s="43" t="s">
        <v>1572</v>
      </c>
      <c r="D775" s="41" t="str">
        <f t="shared" si="12"/>
        <v>CG003160</v>
      </c>
    </row>
    <row r="776" spans="1:4" ht="17">
      <c r="A776" s="42" t="s">
        <v>1573</v>
      </c>
      <c r="B776" s="43">
        <v>3162</v>
      </c>
      <c r="C776" s="43" t="s">
        <v>1574</v>
      </c>
      <c r="D776" s="41" t="str">
        <f t="shared" si="12"/>
        <v>CG003162</v>
      </c>
    </row>
    <row r="777" spans="1:4" ht="17">
      <c r="A777" s="42" t="s">
        <v>1575</v>
      </c>
      <c r="B777" s="43">
        <v>3163</v>
      </c>
      <c r="C777" s="43" t="s">
        <v>1576</v>
      </c>
      <c r="D777" s="41" t="str">
        <f t="shared" si="12"/>
        <v>CG003163</v>
      </c>
    </row>
    <row r="778" spans="1:4" ht="17">
      <c r="A778" s="42" t="s">
        <v>1577</v>
      </c>
      <c r="B778" s="43">
        <v>3172</v>
      </c>
      <c r="C778" s="43" t="s">
        <v>1578</v>
      </c>
      <c r="D778" s="41" t="str">
        <f t="shared" si="12"/>
        <v>KO003172</v>
      </c>
    </row>
    <row r="779" spans="1:4" ht="17">
      <c r="A779" s="42" t="s">
        <v>1579</v>
      </c>
      <c r="B779" s="43">
        <v>3173</v>
      </c>
      <c r="C779" s="43" t="s">
        <v>1580</v>
      </c>
      <c r="D779" s="41" t="str">
        <f t="shared" si="12"/>
        <v>KO003173</v>
      </c>
    </row>
    <row r="780" spans="1:4" ht="17">
      <c r="A780" s="42" t="s">
        <v>1581</v>
      </c>
      <c r="B780" s="43">
        <v>3176</v>
      </c>
      <c r="C780" s="43" t="s">
        <v>1582</v>
      </c>
      <c r="D780" s="41" t="str">
        <f t="shared" si="12"/>
        <v>KO003176</v>
      </c>
    </row>
    <row r="781" spans="1:4" ht="17">
      <c r="A781" s="42" t="s">
        <v>1583</v>
      </c>
      <c r="B781" s="43">
        <v>3177</v>
      </c>
      <c r="C781" s="43" t="s">
        <v>1584</v>
      </c>
      <c r="D781" s="41" t="str">
        <f t="shared" si="12"/>
        <v>KO003177</v>
      </c>
    </row>
    <row r="782" spans="1:4" ht="17">
      <c r="A782" s="42" t="s">
        <v>1585</v>
      </c>
      <c r="B782" s="43">
        <v>3180</v>
      </c>
      <c r="C782" s="43" t="s">
        <v>1586</v>
      </c>
      <c r="D782" s="41" t="str">
        <f t="shared" si="12"/>
        <v>KO003180</v>
      </c>
    </row>
    <row r="783" spans="1:4" ht="17">
      <c r="A783" s="42" t="s">
        <v>1587</v>
      </c>
      <c r="B783" s="43">
        <v>3181</v>
      </c>
      <c r="C783" s="43" t="s">
        <v>1588</v>
      </c>
      <c r="D783" s="41" t="str">
        <f t="shared" si="12"/>
        <v>KO003181</v>
      </c>
    </row>
    <row r="784" spans="1:4" ht="17">
      <c r="A784" s="42" t="s">
        <v>1589</v>
      </c>
      <c r="B784" s="43">
        <v>3188</v>
      </c>
      <c r="C784" s="43" t="s">
        <v>1590</v>
      </c>
      <c r="D784" s="41" t="str">
        <f t="shared" si="12"/>
        <v>CG003188</v>
      </c>
    </row>
    <row r="785" spans="1:4" ht="17">
      <c r="A785" s="42" t="s">
        <v>1591</v>
      </c>
      <c r="B785" s="43">
        <v>3190</v>
      </c>
      <c r="C785" s="43" t="s">
        <v>1592</v>
      </c>
      <c r="D785" s="41" t="str">
        <f t="shared" si="12"/>
        <v>CG003190</v>
      </c>
    </row>
    <row r="786" spans="1:4" ht="17">
      <c r="A786" s="42" t="s">
        <v>1593</v>
      </c>
      <c r="B786" s="43">
        <v>3191</v>
      </c>
      <c r="C786" s="43" t="s">
        <v>1594</v>
      </c>
      <c r="D786" s="41" t="str">
        <f t="shared" si="12"/>
        <v>CG003191</v>
      </c>
    </row>
    <row r="787" spans="1:4" ht="17">
      <c r="A787" s="42" t="s">
        <v>1595</v>
      </c>
      <c r="B787" s="43">
        <v>3192</v>
      </c>
      <c r="C787" s="43" t="s">
        <v>1596</v>
      </c>
      <c r="D787" s="41" t="str">
        <f t="shared" si="12"/>
        <v>CG003192</v>
      </c>
    </row>
    <row r="788" spans="1:4" ht="17">
      <c r="A788" s="42" t="s">
        <v>1597</v>
      </c>
      <c r="B788" s="43">
        <v>3193</v>
      </c>
      <c r="C788" s="43" t="s">
        <v>1598</v>
      </c>
      <c r="D788" s="41" t="str">
        <f t="shared" si="12"/>
        <v>CG003193</v>
      </c>
    </row>
    <row r="789" spans="1:4" ht="17">
      <c r="A789" s="42" t="s">
        <v>1599</v>
      </c>
      <c r="B789" s="43">
        <v>3195</v>
      </c>
      <c r="C789" s="43" t="s">
        <v>1600</v>
      </c>
      <c r="D789" s="41" t="str">
        <f t="shared" si="12"/>
        <v>CG003195</v>
      </c>
    </row>
    <row r="790" spans="1:4" ht="17">
      <c r="A790" s="42" t="s">
        <v>1601</v>
      </c>
      <c r="B790" s="43">
        <v>3196</v>
      </c>
      <c r="C790" s="43" t="s">
        <v>1602</v>
      </c>
      <c r="D790" s="41" t="str">
        <f t="shared" si="12"/>
        <v>CG003196</v>
      </c>
    </row>
    <row r="791" spans="1:4" ht="17">
      <c r="A791" s="42" t="s">
        <v>1603</v>
      </c>
      <c r="B791" s="43">
        <v>3197</v>
      </c>
      <c r="C791" s="43" t="s">
        <v>1604</v>
      </c>
      <c r="D791" s="41" t="str">
        <f t="shared" si="12"/>
        <v>CG003197</v>
      </c>
    </row>
    <row r="792" spans="1:4" ht="17">
      <c r="A792" s="42" t="s">
        <v>1605</v>
      </c>
      <c r="B792" s="43">
        <v>3200</v>
      </c>
      <c r="C792" s="43" t="s">
        <v>1606</v>
      </c>
      <c r="D792" s="41" t="str">
        <f t="shared" si="12"/>
        <v>CG003200</v>
      </c>
    </row>
    <row r="793" spans="1:4" ht="17">
      <c r="A793" s="42" t="s">
        <v>1607</v>
      </c>
      <c r="B793" s="43">
        <v>3206</v>
      </c>
      <c r="C793" s="43" t="s">
        <v>1608</v>
      </c>
      <c r="D793" s="41" t="str">
        <f t="shared" si="12"/>
        <v>CG003206</v>
      </c>
    </row>
    <row r="794" spans="1:4" ht="17">
      <c r="A794" s="42" t="s">
        <v>1609</v>
      </c>
      <c r="B794" s="43">
        <v>3208</v>
      </c>
      <c r="C794" s="43" t="s">
        <v>1610</v>
      </c>
      <c r="D794" s="41" t="str">
        <f t="shared" si="12"/>
        <v>CG003208</v>
      </c>
    </row>
    <row r="795" spans="1:4" ht="17">
      <c r="A795" s="42" t="s">
        <v>1611</v>
      </c>
      <c r="B795" s="43">
        <v>3210</v>
      </c>
      <c r="C795" s="43" t="s">
        <v>1612</v>
      </c>
      <c r="D795" s="41" t="str">
        <f t="shared" si="12"/>
        <v>CG003210</v>
      </c>
    </row>
    <row r="796" spans="1:4" ht="17">
      <c r="A796" s="42" t="s">
        <v>1613</v>
      </c>
      <c r="B796" s="43">
        <v>3212</v>
      </c>
      <c r="C796" s="43" t="s">
        <v>1614</v>
      </c>
      <c r="D796" s="41" t="str">
        <f t="shared" si="12"/>
        <v>CG003212</v>
      </c>
    </row>
    <row r="797" spans="1:4" ht="17">
      <c r="A797" s="42" t="s">
        <v>1615</v>
      </c>
      <c r="B797" s="43">
        <v>3213</v>
      </c>
      <c r="C797" s="43" t="s">
        <v>1616</v>
      </c>
      <c r="D797" s="41" t="str">
        <f t="shared" si="12"/>
        <v>CG003213</v>
      </c>
    </row>
    <row r="798" spans="1:4" ht="17">
      <c r="A798" s="42" t="s">
        <v>1617</v>
      </c>
      <c r="B798" s="43">
        <v>3214</v>
      </c>
      <c r="C798" s="43" t="s">
        <v>1177</v>
      </c>
      <c r="D798" s="41" t="str">
        <f t="shared" si="12"/>
        <v>CG003214</v>
      </c>
    </row>
    <row r="799" spans="1:4" ht="17">
      <c r="A799" s="42" t="s">
        <v>1618</v>
      </c>
      <c r="B799" s="43">
        <v>3216</v>
      </c>
      <c r="C799" s="43" t="s">
        <v>1619</v>
      </c>
      <c r="D799" s="41" t="str">
        <f t="shared" si="12"/>
        <v>CG003216</v>
      </c>
    </row>
    <row r="800" spans="1:4" ht="17">
      <c r="A800" s="42" t="s">
        <v>1620</v>
      </c>
      <c r="B800" s="43">
        <v>3220</v>
      </c>
      <c r="C800" s="43" t="s">
        <v>1621</v>
      </c>
      <c r="D800" s="41" t="str">
        <f t="shared" si="12"/>
        <v>CG003220</v>
      </c>
    </row>
    <row r="801" spans="1:4" ht="17">
      <c r="A801" s="42" t="s">
        <v>1622</v>
      </c>
      <c r="B801" s="43">
        <v>3222</v>
      </c>
      <c r="C801" s="43" t="s">
        <v>1623</v>
      </c>
      <c r="D801" s="41" t="str">
        <f t="shared" si="12"/>
        <v>CG003222</v>
      </c>
    </row>
    <row r="802" spans="1:4" ht="17">
      <c r="A802" s="42" t="s">
        <v>1624</v>
      </c>
      <c r="B802" s="43">
        <v>3224</v>
      </c>
      <c r="C802" s="43" t="s">
        <v>1625</v>
      </c>
      <c r="D802" s="41" t="str">
        <f t="shared" si="12"/>
        <v>CG003224</v>
      </c>
    </row>
    <row r="803" spans="1:4" ht="17">
      <c r="A803" s="42" t="s">
        <v>1626</v>
      </c>
      <c r="B803" s="43">
        <v>3225</v>
      </c>
      <c r="C803" s="43" t="s">
        <v>1627</v>
      </c>
      <c r="D803" s="41" t="str">
        <f t="shared" si="12"/>
        <v>CG003225</v>
      </c>
    </row>
    <row r="804" spans="1:4" ht="17">
      <c r="A804" s="42" t="s">
        <v>1628</v>
      </c>
      <c r="B804" s="43">
        <v>3232</v>
      </c>
      <c r="C804" s="43" t="s">
        <v>1629</v>
      </c>
      <c r="D804" s="41" t="str">
        <f t="shared" si="12"/>
        <v>KO003232</v>
      </c>
    </row>
    <row r="805" spans="1:4" ht="17">
      <c r="A805" s="42" t="s">
        <v>1630</v>
      </c>
      <c r="B805" s="43">
        <v>3234</v>
      </c>
      <c r="C805" s="43" t="s">
        <v>1631</v>
      </c>
      <c r="D805" s="41" t="str">
        <f t="shared" si="12"/>
        <v>KO003234</v>
      </c>
    </row>
    <row r="806" spans="1:4" ht="17">
      <c r="A806" s="42" t="s">
        <v>1632</v>
      </c>
      <c r="B806" s="43">
        <v>3235</v>
      </c>
      <c r="C806" s="43" t="s">
        <v>1633</v>
      </c>
      <c r="D806" s="41" t="str">
        <f t="shared" si="12"/>
        <v>CG003235</v>
      </c>
    </row>
    <row r="807" spans="1:4" ht="17">
      <c r="A807" s="42" t="s">
        <v>1634</v>
      </c>
      <c r="B807" s="43">
        <v>3236</v>
      </c>
      <c r="C807" s="43" t="s">
        <v>1635</v>
      </c>
      <c r="D807" s="41" t="str">
        <f t="shared" si="12"/>
        <v>KO003236</v>
      </c>
    </row>
    <row r="808" spans="1:4" ht="17">
      <c r="A808" s="42" t="s">
        <v>1636</v>
      </c>
      <c r="B808" s="43">
        <v>3237</v>
      </c>
      <c r="C808" s="43" t="s">
        <v>1637</v>
      </c>
      <c r="D808" s="41" t="str">
        <f t="shared" si="12"/>
        <v>CG003237</v>
      </c>
    </row>
    <row r="809" spans="1:4" ht="17">
      <c r="A809" s="42" t="s">
        <v>1638</v>
      </c>
      <c r="B809" s="43">
        <v>3245</v>
      </c>
      <c r="C809" s="43" t="s">
        <v>1639</v>
      </c>
      <c r="D809" s="41" t="str">
        <f t="shared" si="12"/>
        <v>KO003245</v>
      </c>
    </row>
    <row r="810" spans="1:4" ht="17">
      <c r="A810" s="42" t="s">
        <v>1640</v>
      </c>
      <c r="B810" s="43">
        <v>3246</v>
      </c>
      <c r="C810" s="43" t="s">
        <v>1641</v>
      </c>
      <c r="D810" s="41" t="str">
        <f t="shared" si="12"/>
        <v>KO003246</v>
      </c>
    </row>
    <row r="811" spans="1:4" ht="17">
      <c r="A811" s="42" t="s">
        <v>1642</v>
      </c>
      <c r="B811" s="43">
        <v>3250</v>
      </c>
      <c r="C811" s="43" t="s">
        <v>1643</v>
      </c>
      <c r="D811" s="41" t="str">
        <f t="shared" si="12"/>
        <v>KO003250</v>
      </c>
    </row>
    <row r="812" spans="1:4" ht="17">
      <c r="A812" s="42" t="s">
        <v>1644</v>
      </c>
      <c r="B812" s="43">
        <v>3253</v>
      </c>
      <c r="C812" s="43" t="s">
        <v>1645</v>
      </c>
      <c r="D812" s="41" t="str">
        <f t="shared" si="12"/>
        <v>KO003253</v>
      </c>
    </row>
    <row r="813" spans="1:4" ht="17">
      <c r="A813" s="42" t="s">
        <v>1646</v>
      </c>
      <c r="B813" s="43">
        <v>3255</v>
      </c>
      <c r="C813" s="43" t="s">
        <v>1647</v>
      </c>
      <c r="D813" s="41" t="str">
        <f t="shared" si="12"/>
        <v>KO003255</v>
      </c>
    </row>
    <row r="814" spans="1:4" ht="17">
      <c r="A814" s="42" t="s">
        <v>1648</v>
      </c>
      <c r="B814" s="43">
        <v>3257</v>
      </c>
      <c r="C814" s="43" t="s">
        <v>1649</v>
      </c>
      <c r="D814" s="41" t="str">
        <f t="shared" si="12"/>
        <v>CG003257</v>
      </c>
    </row>
    <row r="815" spans="1:4" ht="17">
      <c r="A815" s="42" t="s">
        <v>1650</v>
      </c>
      <c r="B815" s="43">
        <v>3264</v>
      </c>
      <c r="C815" s="43" t="s">
        <v>1651</v>
      </c>
      <c r="D815" s="41" t="str">
        <f t="shared" si="12"/>
        <v>CG003264</v>
      </c>
    </row>
    <row r="816" spans="1:4" ht="17">
      <c r="A816" s="42" t="s">
        <v>1652</v>
      </c>
      <c r="B816" s="43">
        <v>3271</v>
      </c>
      <c r="C816" s="43" t="s">
        <v>1653</v>
      </c>
      <c r="D816" s="41" t="str">
        <f t="shared" si="12"/>
        <v>KO003271</v>
      </c>
    </row>
    <row r="817" spans="1:4" ht="17">
      <c r="A817" s="42" t="s">
        <v>1654</v>
      </c>
      <c r="B817" s="43">
        <v>3272</v>
      </c>
      <c r="C817" s="43" t="s">
        <v>1655</v>
      </c>
      <c r="D817" s="41" t="str">
        <f t="shared" si="12"/>
        <v>CG003272</v>
      </c>
    </row>
    <row r="818" spans="1:4" ht="17">
      <c r="A818" s="42" t="s">
        <v>1656</v>
      </c>
      <c r="B818" s="43">
        <v>3274</v>
      </c>
      <c r="C818" s="43" t="s">
        <v>1657</v>
      </c>
      <c r="D818" s="41" t="str">
        <f t="shared" si="12"/>
        <v>CG003274</v>
      </c>
    </row>
    <row r="819" spans="1:4" ht="17">
      <c r="A819" s="42" t="s">
        <v>1658</v>
      </c>
      <c r="B819" s="43">
        <v>3275</v>
      </c>
      <c r="C819" s="43" t="s">
        <v>1659</v>
      </c>
      <c r="D819" s="41" t="str">
        <f t="shared" si="12"/>
        <v>CG003275</v>
      </c>
    </row>
    <row r="820" spans="1:4" ht="17">
      <c r="A820" s="42" t="s">
        <v>1660</v>
      </c>
      <c r="B820" s="43">
        <v>3276</v>
      </c>
      <c r="C820" s="43" t="s">
        <v>1661</v>
      </c>
      <c r="D820" s="41" t="str">
        <f t="shared" si="12"/>
        <v>CG003276</v>
      </c>
    </row>
    <row r="821" spans="1:4" ht="17">
      <c r="A821" s="42" t="s">
        <v>1662</v>
      </c>
      <c r="B821" s="43">
        <v>3279</v>
      </c>
      <c r="C821" s="43" t="s">
        <v>1663</v>
      </c>
      <c r="D821" s="41" t="str">
        <f t="shared" si="12"/>
        <v>KO003279</v>
      </c>
    </row>
    <row r="822" spans="1:4" ht="17">
      <c r="A822" s="42" t="s">
        <v>1664</v>
      </c>
      <c r="B822" s="43">
        <v>3281</v>
      </c>
      <c r="C822" s="43" t="s">
        <v>1665</v>
      </c>
      <c r="D822" s="41" t="str">
        <f t="shared" si="12"/>
        <v>CG003281</v>
      </c>
    </row>
    <row r="823" spans="1:4" ht="17">
      <c r="A823" s="42" t="s">
        <v>1666</v>
      </c>
      <c r="B823" s="43">
        <v>3284</v>
      </c>
      <c r="C823" s="43" t="s">
        <v>1667</v>
      </c>
      <c r="D823" s="41" t="str">
        <f t="shared" si="12"/>
        <v>CG003284</v>
      </c>
    </row>
    <row r="824" spans="1:4" ht="17">
      <c r="A824" s="42" t="s">
        <v>1668</v>
      </c>
      <c r="B824" s="43">
        <v>3285</v>
      </c>
      <c r="C824" s="43" t="s">
        <v>1669</v>
      </c>
      <c r="D824" s="41" t="str">
        <f t="shared" si="12"/>
        <v>KO003285</v>
      </c>
    </row>
    <row r="825" spans="1:4" ht="17">
      <c r="A825" s="42" t="s">
        <v>1670</v>
      </c>
      <c r="B825" s="43">
        <v>3286</v>
      </c>
      <c r="C825" s="43" t="s">
        <v>1671</v>
      </c>
      <c r="D825" s="41" t="str">
        <f t="shared" si="12"/>
        <v>KO003286</v>
      </c>
    </row>
    <row r="826" spans="1:4" ht="17">
      <c r="A826" s="42" t="s">
        <v>1672</v>
      </c>
      <c r="B826" s="43">
        <v>3287</v>
      </c>
      <c r="C826" s="43" t="s">
        <v>1673</v>
      </c>
      <c r="D826" s="41" t="str">
        <f t="shared" si="12"/>
        <v>KO003287</v>
      </c>
    </row>
    <row r="827" spans="1:4" ht="17">
      <c r="A827" s="42" t="s">
        <v>1674</v>
      </c>
      <c r="B827" s="43">
        <v>3291</v>
      </c>
      <c r="C827" s="43" t="s">
        <v>1675</v>
      </c>
      <c r="D827" s="41" t="str">
        <f t="shared" si="12"/>
        <v>CG003291</v>
      </c>
    </row>
    <row r="828" spans="1:4" ht="17">
      <c r="A828" s="42" t="s">
        <v>1676</v>
      </c>
      <c r="B828" s="43">
        <v>3293</v>
      </c>
      <c r="C828" s="43" t="s">
        <v>1677</v>
      </c>
      <c r="D828" s="41" t="str">
        <f t="shared" si="12"/>
        <v>CG003293</v>
      </c>
    </row>
    <row r="829" spans="1:4" ht="17">
      <c r="A829" s="42" t="s">
        <v>1678</v>
      </c>
      <c r="B829" s="43">
        <v>3294</v>
      </c>
      <c r="C829" s="43" t="s">
        <v>1679</v>
      </c>
      <c r="D829" s="41" t="str">
        <f t="shared" si="12"/>
        <v>CG003294</v>
      </c>
    </row>
    <row r="830" spans="1:4" ht="17">
      <c r="A830" s="42" t="s">
        <v>1680</v>
      </c>
      <c r="B830" s="43">
        <v>3295</v>
      </c>
      <c r="C830" s="43" t="s">
        <v>1681</v>
      </c>
      <c r="D830" s="41" t="str">
        <f t="shared" si="12"/>
        <v>CG003295</v>
      </c>
    </row>
    <row r="831" spans="1:4" ht="17">
      <c r="A831" s="42" t="s">
        <v>1682</v>
      </c>
      <c r="B831" s="43">
        <v>3297</v>
      </c>
      <c r="C831" s="43" t="s">
        <v>1683</v>
      </c>
      <c r="D831" s="41" t="str">
        <f t="shared" si="12"/>
        <v>CG003297</v>
      </c>
    </row>
    <row r="832" spans="1:4" ht="17">
      <c r="A832" s="42" t="s">
        <v>1684</v>
      </c>
      <c r="B832" s="43">
        <v>3306</v>
      </c>
      <c r="C832" s="43" t="s">
        <v>1685</v>
      </c>
      <c r="D832" s="41" t="str">
        <f t="shared" si="12"/>
        <v>CG003306</v>
      </c>
    </row>
    <row r="833" spans="1:4" ht="17">
      <c r="A833" s="42" t="s">
        <v>1686</v>
      </c>
      <c r="B833" s="43">
        <v>3307</v>
      </c>
      <c r="C833" s="43" t="s">
        <v>980</v>
      </c>
      <c r="D833" s="41" t="str">
        <f t="shared" si="12"/>
        <v>CG003307</v>
      </c>
    </row>
    <row r="834" spans="1:4" ht="17">
      <c r="A834" s="42" t="s">
        <v>1687</v>
      </c>
      <c r="B834" s="43">
        <v>3309</v>
      </c>
      <c r="C834" s="43" t="s">
        <v>1688</v>
      </c>
      <c r="D834" s="41" t="str">
        <f t="shared" si="12"/>
        <v>CG003309</v>
      </c>
    </row>
    <row r="835" spans="1:4" ht="17">
      <c r="A835" s="42" t="s">
        <v>1689</v>
      </c>
      <c r="B835" s="43">
        <v>3316</v>
      </c>
      <c r="C835" s="43" t="s">
        <v>1690</v>
      </c>
      <c r="D835" s="41" t="str">
        <f t="shared" ref="D835:D898" si="13">TEXT(A835,"00000000")</f>
        <v>CG003316</v>
      </c>
    </row>
    <row r="836" spans="1:4" ht="17">
      <c r="A836" s="42" t="s">
        <v>1691</v>
      </c>
      <c r="B836" s="43">
        <v>3317</v>
      </c>
      <c r="C836" s="43" t="s">
        <v>1692</v>
      </c>
      <c r="D836" s="41" t="str">
        <f t="shared" si="13"/>
        <v>CG003317</v>
      </c>
    </row>
    <row r="837" spans="1:4" ht="17">
      <c r="A837" s="42" t="s">
        <v>1693</v>
      </c>
      <c r="B837" s="43">
        <v>3319</v>
      </c>
      <c r="C837" s="43" t="s">
        <v>1694</v>
      </c>
      <c r="D837" s="41" t="str">
        <f t="shared" si="13"/>
        <v>CG003319</v>
      </c>
    </row>
    <row r="838" spans="1:4" ht="17">
      <c r="A838" s="42" t="s">
        <v>1695</v>
      </c>
      <c r="B838" s="43">
        <v>3325</v>
      </c>
      <c r="C838" s="43" t="s">
        <v>1696</v>
      </c>
      <c r="D838" s="41" t="str">
        <f t="shared" si="13"/>
        <v>CG003325</v>
      </c>
    </row>
    <row r="839" spans="1:4" ht="17">
      <c r="A839" s="42" t="s">
        <v>1697</v>
      </c>
      <c r="B839" s="43">
        <v>3326</v>
      </c>
      <c r="C839" s="43" t="s">
        <v>1698</v>
      </c>
      <c r="D839" s="41" t="str">
        <f t="shared" si="13"/>
        <v>CG003326</v>
      </c>
    </row>
    <row r="840" spans="1:4" ht="17">
      <c r="A840" s="42" t="s">
        <v>1699</v>
      </c>
      <c r="B840" s="43">
        <v>3328</v>
      </c>
      <c r="C840" s="43" t="s">
        <v>1700</v>
      </c>
      <c r="D840" s="41" t="str">
        <f t="shared" si="13"/>
        <v>CG003328</v>
      </c>
    </row>
    <row r="841" spans="1:4" ht="17">
      <c r="A841" s="42" t="s">
        <v>1701</v>
      </c>
      <c r="B841" s="43">
        <v>3329</v>
      </c>
      <c r="C841" s="43" t="s">
        <v>1702</v>
      </c>
      <c r="D841" s="41" t="str">
        <f t="shared" si="13"/>
        <v>CG003329</v>
      </c>
    </row>
    <row r="842" spans="1:4" ht="17">
      <c r="A842" s="42" t="s">
        <v>1703</v>
      </c>
      <c r="B842" s="43">
        <v>3330</v>
      </c>
      <c r="C842" s="43" t="s">
        <v>1704</v>
      </c>
      <c r="D842" s="41" t="str">
        <f t="shared" si="13"/>
        <v>CG003330</v>
      </c>
    </row>
    <row r="843" spans="1:4" ht="17">
      <c r="A843" s="42" t="s">
        <v>1705</v>
      </c>
      <c r="B843" s="43">
        <v>3334</v>
      </c>
      <c r="C843" s="43" t="s">
        <v>1706</v>
      </c>
      <c r="D843" s="41" t="str">
        <f t="shared" si="13"/>
        <v>CG003334</v>
      </c>
    </row>
    <row r="844" spans="1:4" ht="17">
      <c r="A844" s="42" t="s">
        <v>1707</v>
      </c>
      <c r="B844" s="43">
        <v>3335</v>
      </c>
      <c r="C844" s="43" t="s">
        <v>1280</v>
      </c>
      <c r="D844" s="41" t="str">
        <f t="shared" si="13"/>
        <v>CG003335</v>
      </c>
    </row>
    <row r="845" spans="1:4" ht="17">
      <c r="A845" s="42" t="s">
        <v>1708</v>
      </c>
      <c r="B845" s="43">
        <v>3336</v>
      </c>
      <c r="C845" s="43" t="s">
        <v>1709</v>
      </c>
      <c r="D845" s="41" t="str">
        <f t="shared" si="13"/>
        <v>CG003336</v>
      </c>
    </row>
    <row r="846" spans="1:4" ht="17">
      <c r="A846" s="42" t="s">
        <v>1710</v>
      </c>
      <c r="B846" s="43">
        <v>3338</v>
      </c>
      <c r="C846" s="43" t="s">
        <v>1711</v>
      </c>
      <c r="D846" s="41" t="str">
        <f t="shared" si="13"/>
        <v>CG003338</v>
      </c>
    </row>
    <row r="847" spans="1:4" ht="17">
      <c r="A847" s="42" t="s">
        <v>1712</v>
      </c>
      <c r="B847" s="43">
        <v>3339</v>
      </c>
      <c r="C847" s="43" t="s">
        <v>1713</v>
      </c>
      <c r="D847" s="41" t="str">
        <f t="shared" si="13"/>
        <v>CG003339</v>
      </c>
    </row>
    <row r="848" spans="1:4" ht="17">
      <c r="A848" s="42" t="s">
        <v>1714</v>
      </c>
      <c r="B848" s="43">
        <v>3345</v>
      </c>
      <c r="C848" s="43" t="s">
        <v>1715</v>
      </c>
      <c r="D848" s="41" t="str">
        <f t="shared" si="13"/>
        <v>CG003345</v>
      </c>
    </row>
    <row r="849" spans="1:4" ht="17">
      <c r="A849" s="42" t="s">
        <v>1716</v>
      </c>
      <c r="B849" s="43">
        <v>3347</v>
      </c>
      <c r="C849" s="43" t="s">
        <v>1717</v>
      </c>
      <c r="D849" s="41" t="str">
        <f t="shared" si="13"/>
        <v>CG003347</v>
      </c>
    </row>
    <row r="850" spans="1:4" ht="17">
      <c r="A850" s="42" t="s">
        <v>1718</v>
      </c>
      <c r="B850" s="43">
        <v>3363</v>
      </c>
      <c r="C850" s="43" t="s">
        <v>1719</v>
      </c>
      <c r="D850" s="41" t="str">
        <f t="shared" si="13"/>
        <v>01147900</v>
      </c>
    </row>
    <row r="851" spans="1:4" ht="17">
      <c r="A851" s="42" t="s">
        <v>1720</v>
      </c>
      <c r="B851" s="43">
        <v>3364</v>
      </c>
      <c r="C851" s="43" t="s">
        <v>1721</v>
      </c>
      <c r="D851" s="41" t="str">
        <f t="shared" si="13"/>
        <v>01148588</v>
      </c>
    </row>
    <row r="852" spans="1:4" ht="17">
      <c r="A852" s="42" t="s">
        <v>1722</v>
      </c>
      <c r="B852" s="43">
        <v>3365</v>
      </c>
      <c r="C852" s="43" t="s">
        <v>1723</v>
      </c>
      <c r="D852" s="41" t="str">
        <f t="shared" si="13"/>
        <v>01148589</v>
      </c>
    </row>
    <row r="853" spans="1:4" ht="17">
      <c r="A853" s="42" t="s">
        <v>1724</v>
      </c>
      <c r="B853" s="43">
        <v>3367</v>
      </c>
      <c r="C853" s="43" t="s">
        <v>1725</v>
      </c>
      <c r="D853" s="41" t="str">
        <f t="shared" si="13"/>
        <v>01149087</v>
      </c>
    </row>
    <row r="854" spans="1:4" ht="17">
      <c r="A854" s="42" t="s">
        <v>1726</v>
      </c>
      <c r="B854" s="43">
        <v>3391</v>
      </c>
      <c r="C854" s="43" t="s">
        <v>1469</v>
      </c>
      <c r="D854" s="41" t="str">
        <f t="shared" si="13"/>
        <v>01152754</v>
      </c>
    </row>
    <row r="855" spans="1:4" ht="17">
      <c r="A855" s="42" t="s">
        <v>1727</v>
      </c>
      <c r="B855" s="43">
        <v>3393</v>
      </c>
      <c r="C855" s="43" t="s">
        <v>1728</v>
      </c>
      <c r="D855" s="41" t="str">
        <f t="shared" si="13"/>
        <v>01152756</v>
      </c>
    </row>
    <row r="856" spans="1:4" ht="17">
      <c r="A856" s="42" t="s">
        <v>1729</v>
      </c>
      <c r="B856" s="43">
        <v>3399</v>
      </c>
      <c r="C856" s="43" t="s">
        <v>1730</v>
      </c>
      <c r="D856" s="41" t="str">
        <f t="shared" si="13"/>
        <v>01152875</v>
      </c>
    </row>
    <row r="857" spans="1:4" ht="17">
      <c r="A857" s="42" t="s">
        <v>1731</v>
      </c>
      <c r="B857" s="43">
        <v>3401</v>
      </c>
      <c r="C857" s="43" t="s">
        <v>1732</v>
      </c>
      <c r="D857" s="41" t="str">
        <f t="shared" si="13"/>
        <v>01153143</v>
      </c>
    </row>
    <row r="858" spans="1:4" ht="17">
      <c r="A858" s="42" t="s">
        <v>1733</v>
      </c>
      <c r="B858" s="43">
        <v>3402</v>
      </c>
      <c r="C858" s="43" t="s">
        <v>1734</v>
      </c>
      <c r="D858" s="41" t="str">
        <f t="shared" si="13"/>
        <v>01153144</v>
      </c>
    </row>
    <row r="859" spans="1:4" ht="17">
      <c r="A859" s="42" t="s">
        <v>1735</v>
      </c>
      <c r="B859" s="43">
        <v>3408</v>
      </c>
      <c r="C859" s="43" t="s">
        <v>1736</v>
      </c>
      <c r="D859" s="41" t="str">
        <f t="shared" si="13"/>
        <v>01153801</v>
      </c>
    </row>
    <row r="860" spans="1:4" ht="17">
      <c r="A860" s="42" t="s">
        <v>1737</v>
      </c>
      <c r="B860" s="43">
        <v>3411</v>
      </c>
      <c r="C860" s="43" t="s">
        <v>1738</v>
      </c>
      <c r="D860" s="41" t="str">
        <f t="shared" si="13"/>
        <v>01153804</v>
      </c>
    </row>
    <row r="861" spans="1:4" ht="17">
      <c r="A861" s="42" t="s">
        <v>1739</v>
      </c>
      <c r="B861" s="43">
        <v>3418</v>
      </c>
      <c r="C861" s="43" t="s">
        <v>1740</v>
      </c>
      <c r="D861" s="41" t="str">
        <f t="shared" si="13"/>
        <v>01153991</v>
      </c>
    </row>
    <row r="862" spans="1:4" ht="17">
      <c r="A862" s="42" t="s">
        <v>1741</v>
      </c>
      <c r="B862" s="43">
        <v>3419</v>
      </c>
      <c r="C862" s="43" t="s">
        <v>1742</v>
      </c>
      <c r="D862" s="41" t="str">
        <f t="shared" si="13"/>
        <v>01153992</v>
      </c>
    </row>
    <row r="863" spans="1:4" ht="17">
      <c r="A863" s="42" t="s">
        <v>1743</v>
      </c>
      <c r="B863" s="43">
        <v>3423</v>
      </c>
      <c r="C863" s="43" t="s">
        <v>1744</v>
      </c>
      <c r="D863" s="41" t="str">
        <f t="shared" si="13"/>
        <v>01154396</v>
      </c>
    </row>
    <row r="864" spans="1:4" ht="17">
      <c r="A864" s="42" t="s">
        <v>1745</v>
      </c>
      <c r="B864" s="43">
        <v>3426</v>
      </c>
      <c r="C864" s="43" t="s">
        <v>1746</v>
      </c>
      <c r="D864" s="41" t="str">
        <f t="shared" si="13"/>
        <v>01155105</v>
      </c>
    </row>
    <row r="865" spans="1:4" ht="17">
      <c r="A865" s="42" t="s">
        <v>1747</v>
      </c>
      <c r="B865" s="43">
        <v>3427</v>
      </c>
      <c r="C865" s="43" t="s">
        <v>1748</v>
      </c>
      <c r="D865" s="41" t="str">
        <f t="shared" si="13"/>
        <v>01155106</v>
      </c>
    </row>
    <row r="866" spans="1:4" ht="17">
      <c r="A866" s="42" t="s">
        <v>1749</v>
      </c>
      <c r="B866" s="43">
        <v>3428</v>
      </c>
      <c r="C866" s="43" t="s">
        <v>1750</v>
      </c>
      <c r="D866" s="41" t="str">
        <f t="shared" si="13"/>
        <v>01155107</v>
      </c>
    </row>
    <row r="867" spans="1:4" ht="17">
      <c r="A867" s="42" t="s">
        <v>1751</v>
      </c>
      <c r="B867" s="43">
        <v>3433</v>
      </c>
      <c r="C867" s="43" t="s">
        <v>1752</v>
      </c>
      <c r="D867" s="41" t="str">
        <f t="shared" si="13"/>
        <v>01155112</v>
      </c>
    </row>
    <row r="868" spans="1:4" ht="17">
      <c r="A868" s="42" t="s">
        <v>1753</v>
      </c>
      <c r="B868" s="43">
        <v>3434</v>
      </c>
      <c r="C868" s="43" t="s">
        <v>1754</v>
      </c>
      <c r="D868" s="41" t="str">
        <f t="shared" si="13"/>
        <v>01155113</v>
      </c>
    </row>
    <row r="869" spans="1:4" ht="17">
      <c r="A869" s="42" t="s">
        <v>1755</v>
      </c>
      <c r="B869" s="43">
        <v>3436</v>
      </c>
      <c r="C869" s="43" t="s">
        <v>1756</v>
      </c>
      <c r="D869" s="41" t="str">
        <f t="shared" si="13"/>
        <v>01155115</v>
      </c>
    </row>
    <row r="870" spans="1:4" ht="17">
      <c r="A870" s="42" t="s">
        <v>1757</v>
      </c>
      <c r="B870" s="43">
        <v>3438</v>
      </c>
      <c r="C870" s="43" t="s">
        <v>1758</v>
      </c>
      <c r="D870" s="41" t="str">
        <f t="shared" si="13"/>
        <v>01155117</v>
      </c>
    </row>
    <row r="871" spans="1:4" ht="17">
      <c r="A871" s="42" t="s">
        <v>1759</v>
      </c>
      <c r="B871" s="43">
        <v>3442</v>
      </c>
      <c r="C871" s="43" t="s">
        <v>1760</v>
      </c>
      <c r="D871" s="41" t="str">
        <f t="shared" si="13"/>
        <v>01155140</v>
      </c>
    </row>
    <row r="872" spans="1:4" ht="17">
      <c r="A872" s="42" t="s">
        <v>1761</v>
      </c>
      <c r="B872" s="43">
        <v>3443</v>
      </c>
      <c r="C872" s="43" t="s">
        <v>1762</v>
      </c>
      <c r="D872" s="41" t="str">
        <f t="shared" si="13"/>
        <v>01155141</v>
      </c>
    </row>
    <row r="873" spans="1:4" ht="17">
      <c r="A873" s="42" t="s">
        <v>1763</v>
      </c>
      <c r="B873" s="43">
        <v>3445</v>
      </c>
      <c r="C873" s="43" t="s">
        <v>1764</v>
      </c>
      <c r="D873" s="41" t="str">
        <f t="shared" si="13"/>
        <v>01155227</v>
      </c>
    </row>
    <row r="874" spans="1:4" ht="17">
      <c r="A874" s="42" t="s">
        <v>1765</v>
      </c>
      <c r="B874" s="43">
        <v>3446</v>
      </c>
      <c r="C874" s="43" t="s">
        <v>1766</v>
      </c>
      <c r="D874" s="41" t="str">
        <f t="shared" si="13"/>
        <v>01155239</v>
      </c>
    </row>
    <row r="875" spans="1:4" ht="17">
      <c r="A875" s="42" t="s">
        <v>1767</v>
      </c>
      <c r="B875" s="43">
        <v>3447</v>
      </c>
      <c r="C875" s="43" t="s">
        <v>1768</v>
      </c>
      <c r="D875" s="41" t="str">
        <f t="shared" si="13"/>
        <v>01155284</v>
      </c>
    </row>
    <row r="876" spans="1:4" ht="17">
      <c r="A876" s="42" t="s">
        <v>1769</v>
      </c>
      <c r="B876" s="43">
        <v>3451</v>
      </c>
      <c r="C876" s="43" t="s">
        <v>1770</v>
      </c>
      <c r="D876" s="41" t="str">
        <f t="shared" si="13"/>
        <v>01155301</v>
      </c>
    </row>
    <row r="877" spans="1:4" ht="17">
      <c r="A877" s="42" t="s">
        <v>1771</v>
      </c>
      <c r="B877" s="43">
        <v>3454</v>
      </c>
      <c r="C877" s="43" t="s">
        <v>1772</v>
      </c>
      <c r="D877" s="41" t="str">
        <f t="shared" si="13"/>
        <v>01155304</v>
      </c>
    </row>
    <row r="878" spans="1:4" ht="17">
      <c r="A878" s="42" t="s">
        <v>1773</v>
      </c>
      <c r="B878" s="43">
        <v>3457</v>
      </c>
      <c r="C878" s="43" t="s">
        <v>1774</v>
      </c>
      <c r="D878" s="41" t="str">
        <f t="shared" si="13"/>
        <v>01155307</v>
      </c>
    </row>
    <row r="879" spans="1:4" ht="17">
      <c r="A879" s="42" t="s">
        <v>1775</v>
      </c>
      <c r="B879" s="43">
        <v>3458</v>
      </c>
      <c r="C879" s="43" t="s">
        <v>1776</v>
      </c>
      <c r="D879" s="41" t="str">
        <f t="shared" si="13"/>
        <v>01155271</v>
      </c>
    </row>
    <row r="880" spans="1:4" ht="17">
      <c r="A880" s="42" t="s">
        <v>1777</v>
      </c>
      <c r="B880" s="43">
        <v>3459</v>
      </c>
      <c r="C880" s="43" t="s">
        <v>1778</v>
      </c>
      <c r="D880" s="41" t="str">
        <f t="shared" si="13"/>
        <v>01155272</v>
      </c>
    </row>
    <row r="881" spans="1:4" ht="17">
      <c r="A881" s="42" t="s">
        <v>1779</v>
      </c>
      <c r="B881" s="43">
        <v>3460</v>
      </c>
      <c r="C881" s="43" t="s">
        <v>1020</v>
      </c>
      <c r="D881" s="41" t="str">
        <f t="shared" si="13"/>
        <v>01155273</v>
      </c>
    </row>
    <row r="882" spans="1:4" ht="17">
      <c r="A882" s="42" t="s">
        <v>1780</v>
      </c>
      <c r="B882" s="43">
        <v>3463</v>
      </c>
      <c r="C882" s="43" t="s">
        <v>1781</v>
      </c>
      <c r="D882" s="41" t="str">
        <f t="shared" si="13"/>
        <v>01155283</v>
      </c>
    </row>
    <row r="883" spans="1:4" ht="17">
      <c r="A883" s="42" t="s">
        <v>1782</v>
      </c>
      <c r="B883" s="43">
        <v>3465</v>
      </c>
      <c r="C883" s="43" t="s">
        <v>1783</v>
      </c>
      <c r="D883" s="41" t="str">
        <f t="shared" si="13"/>
        <v>01155288</v>
      </c>
    </row>
    <row r="884" spans="1:4" ht="17">
      <c r="A884" s="42" t="s">
        <v>1784</v>
      </c>
      <c r="B884" s="43">
        <v>3466</v>
      </c>
      <c r="C884" s="43" t="s">
        <v>1785</v>
      </c>
      <c r="D884" s="41" t="str">
        <f t="shared" si="13"/>
        <v>01155289</v>
      </c>
    </row>
    <row r="885" spans="1:4" ht="17">
      <c r="A885" s="42" t="s">
        <v>1786</v>
      </c>
      <c r="B885" s="43">
        <v>3467</v>
      </c>
      <c r="C885" s="43" t="s">
        <v>1787</v>
      </c>
      <c r="D885" s="41" t="str">
        <f t="shared" si="13"/>
        <v>01155290</v>
      </c>
    </row>
    <row r="886" spans="1:4" ht="17">
      <c r="A886" s="42" t="s">
        <v>1788</v>
      </c>
      <c r="B886" s="43">
        <v>3468</v>
      </c>
      <c r="C886" s="43" t="s">
        <v>1789</v>
      </c>
      <c r="D886" s="41" t="str">
        <f t="shared" si="13"/>
        <v>01155291</v>
      </c>
    </row>
    <row r="887" spans="1:4" ht="17">
      <c r="A887" s="42" t="s">
        <v>1790</v>
      </c>
      <c r="B887" s="43">
        <v>3469</v>
      </c>
      <c r="C887" s="43" t="s">
        <v>1791</v>
      </c>
      <c r="D887" s="41" t="str">
        <f t="shared" si="13"/>
        <v>01155292</v>
      </c>
    </row>
    <row r="888" spans="1:4" ht="17">
      <c r="A888" s="42" t="s">
        <v>1792</v>
      </c>
      <c r="B888" s="43">
        <v>3470</v>
      </c>
      <c r="C888" s="43" t="s">
        <v>1793</v>
      </c>
      <c r="D888" s="41" t="str">
        <f t="shared" si="13"/>
        <v>01155293</v>
      </c>
    </row>
    <row r="889" spans="1:4" ht="17">
      <c r="A889" s="42" t="s">
        <v>1794</v>
      </c>
      <c r="B889" s="43">
        <v>3471</v>
      </c>
      <c r="C889" s="43" t="s">
        <v>1795</v>
      </c>
      <c r="D889" s="41" t="str">
        <f t="shared" si="13"/>
        <v>01155294</v>
      </c>
    </row>
    <row r="890" spans="1:4" ht="17">
      <c r="A890" s="42" t="s">
        <v>1796</v>
      </c>
      <c r="B890" s="43">
        <v>3473</v>
      </c>
      <c r="C890" s="43" t="s">
        <v>1797</v>
      </c>
      <c r="D890" s="41" t="str">
        <f t="shared" si="13"/>
        <v>01155296</v>
      </c>
    </row>
    <row r="891" spans="1:4" ht="17">
      <c r="A891" s="42" t="s">
        <v>1798</v>
      </c>
      <c r="B891" s="43">
        <v>3474</v>
      </c>
      <c r="C891" s="43" t="s">
        <v>1799</v>
      </c>
      <c r="D891" s="41" t="str">
        <f t="shared" si="13"/>
        <v>01155298</v>
      </c>
    </row>
    <row r="892" spans="1:4" ht="17">
      <c r="A892" s="42" t="s">
        <v>1800</v>
      </c>
      <c r="B892" s="43">
        <v>3475</v>
      </c>
      <c r="C892" s="43" t="s">
        <v>1801</v>
      </c>
      <c r="D892" s="41" t="str">
        <f t="shared" si="13"/>
        <v>01155299</v>
      </c>
    </row>
    <row r="893" spans="1:4" ht="17">
      <c r="A893" s="42" t="s">
        <v>1802</v>
      </c>
      <c r="B893" s="43">
        <v>3476</v>
      </c>
      <c r="C893" s="43" t="s">
        <v>1803</v>
      </c>
      <c r="D893" s="41" t="str">
        <f t="shared" si="13"/>
        <v>01155308</v>
      </c>
    </row>
    <row r="894" spans="1:4" ht="17">
      <c r="A894" s="42" t="s">
        <v>1804</v>
      </c>
      <c r="B894" s="43">
        <v>3477</v>
      </c>
      <c r="C894" s="43" t="s">
        <v>1805</v>
      </c>
      <c r="D894" s="41" t="str">
        <f t="shared" si="13"/>
        <v>01155309</v>
      </c>
    </row>
    <row r="895" spans="1:4" ht="17">
      <c r="A895" s="42" t="s">
        <v>1806</v>
      </c>
      <c r="B895" s="43">
        <v>3478</v>
      </c>
      <c r="C895" s="43" t="s">
        <v>1807</v>
      </c>
      <c r="D895" s="41" t="str">
        <f t="shared" si="13"/>
        <v>01155310</v>
      </c>
    </row>
    <row r="896" spans="1:4" ht="17">
      <c r="A896" s="42" t="s">
        <v>1808</v>
      </c>
      <c r="B896" s="43">
        <v>3479</v>
      </c>
      <c r="C896" s="43" t="s">
        <v>1809</v>
      </c>
      <c r="D896" s="41" t="str">
        <f t="shared" si="13"/>
        <v>01155311</v>
      </c>
    </row>
    <row r="897" spans="1:4" ht="17">
      <c r="A897" s="42" t="s">
        <v>1810</v>
      </c>
      <c r="B897" s="43">
        <v>3480</v>
      </c>
      <c r="C897" s="43" t="s">
        <v>1811</v>
      </c>
      <c r="D897" s="41" t="str">
        <f t="shared" si="13"/>
        <v>01155312</v>
      </c>
    </row>
    <row r="898" spans="1:4" ht="17">
      <c r="A898" s="42" t="s">
        <v>1812</v>
      </c>
      <c r="B898" s="43">
        <v>3481</v>
      </c>
      <c r="C898" s="43" t="s">
        <v>1813</v>
      </c>
      <c r="D898" s="41" t="str">
        <f t="shared" si="13"/>
        <v>01155313</v>
      </c>
    </row>
    <row r="899" spans="1:4" ht="17">
      <c r="A899" s="42" t="s">
        <v>1814</v>
      </c>
      <c r="B899" s="43">
        <v>3482</v>
      </c>
      <c r="C899" s="43" t="s">
        <v>1815</v>
      </c>
      <c r="D899" s="41" t="str">
        <f t="shared" ref="D899:D962" si="14">TEXT(A899,"00000000")</f>
        <v>01155314</v>
      </c>
    </row>
    <row r="900" spans="1:4" ht="17">
      <c r="A900" s="42" t="s">
        <v>1816</v>
      </c>
      <c r="B900" s="43">
        <v>3483</v>
      </c>
      <c r="C900" s="43" t="s">
        <v>1817</v>
      </c>
      <c r="D900" s="41" t="str">
        <f t="shared" si="14"/>
        <v>01155315</v>
      </c>
    </row>
    <row r="901" spans="1:4" ht="17">
      <c r="A901" s="42" t="s">
        <v>1818</v>
      </c>
      <c r="B901" s="43">
        <v>3487</v>
      </c>
      <c r="C901" s="43" t="s">
        <v>1819</v>
      </c>
      <c r="D901" s="41" t="str">
        <f t="shared" si="14"/>
        <v>01155794</v>
      </c>
    </row>
    <row r="902" spans="1:4" ht="17">
      <c r="A902" s="42" t="s">
        <v>1820</v>
      </c>
      <c r="B902" s="43">
        <v>3490</v>
      </c>
      <c r="C902" s="43" t="s">
        <v>1821</v>
      </c>
      <c r="D902" s="41" t="str">
        <f t="shared" si="14"/>
        <v>01161322</v>
      </c>
    </row>
    <row r="903" spans="1:4" ht="17">
      <c r="A903" s="42" t="s">
        <v>1822</v>
      </c>
      <c r="B903" s="43">
        <v>3496</v>
      </c>
      <c r="C903" s="43" t="s">
        <v>1823</v>
      </c>
      <c r="D903" s="41" t="str">
        <f t="shared" si="14"/>
        <v>01168669</v>
      </c>
    </row>
    <row r="904" spans="1:4" ht="17">
      <c r="A904" s="42" t="s">
        <v>1824</v>
      </c>
      <c r="B904" s="43">
        <v>3500</v>
      </c>
      <c r="C904" s="43" t="s">
        <v>1825</v>
      </c>
      <c r="D904" s="41" t="str">
        <f t="shared" si="14"/>
        <v>01169458</v>
      </c>
    </row>
    <row r="905" spans="1:4" ht="17">
      <c r="A905" s="42" t="s">
        <v>1826</v>
      </c>
      <c r="B905" s="43">
        <v>3501</v>
      </c>
      <c r="C905" s="43" t="s">
        <v>1827</v>
      </c>
      <c r="D905" s="41" t="str">
        <f t="shared" si="14"/>
        <v>01169459</v>
      </c>
    </row>
    <row r="906" spans="1:4" ht="17">
      <c r="A906" s="42" t="s">
        <v>1828</v>
      </c>
      <c r="B906" s="43">
        <v>3502</v>
      </c>
      <c r="C906" s="43" t="s">
        <v>1829</v>
      </c>
      <c r="D906" s="41" t="str">
        <f t="shared" si="14"/>
        <v>01169460</v>
      </c>
    </row>
    <row r="907" spans="1:4" ht="17">
      <c r="A907" s="42" t="s">
        <v>1830</v>
      </c>
      <c r="B907" s="43">
        <v>3503</v>
      </c>
      <c r="C907" s="43" t="s">
        <v>1831</v>
      </c>
      <c r="D907" s="41" t="str">
        <f t="shared" si="14"/>
        <v>01169462</v>
      </c>
    </row>
    <row r="908" spans="1:4" ht="17">
      <c r="A908" s="42" t="s">
        <v>1832</v>
      </c>
      <c r="B908" s="43">
        <v>3506</v>
      </c>
      <c r="C908" s="43" t="s">
        <v>1833</v>
      </c>
      <c r="D908" s="41" t="str">
        <f t="shared" si="14"/>
        <v>01169467</v>
      </c>
    </row>
    <row r="909" spans="1:4" ht="17">
      <c r="A909" s="42" t="s">
        <v>1834</v>
      </c>
      <c r="B909" s="43">
        <v>3507</v>
      </c>
      <c r="C909" s="43" t="s">
        <v>1811</v>
      </c>
      <c r="D909" s="41" t="str">
        <f t="shared" si="14"/>
        <v>01169468</v>
      </c>
    </row>
    <row r="910" spans="1:4" ht="17">
      <c r="A910" s="42" t="s">
        <v>1835</v>
      </c>
      <c r="B910" s="43">
        <v>3508</v>
      </c>
      <c r="C910" s="43" t="s">
        <v>1836</v>
      </c>
      <c r="D910" s="41" t="str">
        <f t="shared" si="14"/>
        <v>01169470</v>
      </c>
    </row>
    <row r="911" spans="1:4" ht="17">
      <c r="A911" s="42" t="s">
        <v>1837</v>
      </c>
      <c r="B911" s="43">
        <v>3509</v>
      </c>
      <c r="C911" s="43" t="s">
        <v>1838</v>
      </c>
      <c r="D911" s="41" t="str">
        <f t="shared" si="14"/>
        <v>01169471</v>
      </c>
    </row>
    <row r="912" spans="1:4" ht="17">
      <c r="A912" s="42" t="s">
        <v>1839</v>
      </c>
      <c r="B912" s="43">
        <v>3510</v>
      </c>
      <c r="C912" s="43" t="s">
        <v>1840</v>
      </c>
      <c r="D912" s="41" t="str">
        <f t="shared" si="14"/>
        <v>01169473</v>
      </c>
    </row>
    <row r="913" spans="1:4" ht="17">
      <c r="A913" s="42" t="s">
        <v>1841</v>
      </c>
      <c r="B913" s="43">
        <v>3511</v>
      </c>
      <c r="C913" s="43" t="s">
        <v>1842</v>
      </c>
      <c r="D913" s="41" t="str">
        <f t="shared" si="14"/>
        <v>01169474</v>
      </c>
    </row>
    <row r="914" spans="1:4" ht="17">
      <c r="A914" s="42" t="s">
        <v>1843</v>
      </c>
      <c r="B914" s="43">
        <v>3513</v>
      </c>
      <c r="C914" s="43" t="s">
        <v>1844</v>
      </c>
      <c r="D914" s="41" t="str">
        <f t="shared" si="14"/>
        <v>01171372</v>
      </c>
    </row>
    <row r="915" spans="1:4" ht="17">
      <c r="A915" s="42" t="s">
        <v>1845</v>
      </c>
      <c r="B915" s="43">
        <v>3514</v>
      </c>
      <c r="C915" s="43" t="s">
        <v>1846</v>
      </c>
      <c r="D915" s="41" t="str">
        <f t="shared" si="14"/>
        <v>01171510</v>
      </c>
    </row>
    <row r="916" spans="1:4" ht="17">
      <c r="A916" s="42" t="s">
        <v>1847</v>
      </c>
      <c r="B916" s="43">
        <v>3515</v>
      </c>
      <c r="C916" s="43" t="s">
        <v>1848</v>
      </c>
      <c r="D916" s="41" t="str">
        <f t="shared" si="14"/>
        <v>01171511</v>
      </c>
    </row>
    <row r="917" spans="1:4" ht="17">
      <c r="A917" s="42" t="s">
        <v>1849</v>
      </c>
      <c r="B917" s="43">
        <v>3516</v>
      </c>
      <c r="C917" s="43" t="s">
        <v>1850</v>
      </c>
      <c r="D917" s="41" t="str">
        <f t="shared" si="14"/>
        <v>01171495</v>
      </c>
    </row>
    <row r="918" spans="1:4" ht="17">
      <c r="A918" s="42" t="s">
        <v>1851</v>
      </c>
      <c r="B918" s="43">
        <v>3519</v>
      </c>
      <c r="C918" s="43" t="s">
        <v>1852</v>
      </c>
      <c r="D918" s="41" t="str">
        <f t="shared" si="14"/>
        <v>01172836</v>
      </c>
    </row>
    <row r="919" spans="1:4" ht="17">
      <c r="A919" s="42" t="s">
        <v>1853</v>
      </c>
      <c r="B919" s="43">
        <v>3522</v>
      </c>
      <c r="C919" s="43" t="s">
        <v>1854</v>
      </c>
      <c r="D919" s="41" t="str">
        <f t="shared" si="14"/>
        <v>01173294</v>
      </c>
    </row>
    <row r="920" spans="1:4" ht="17">
      <c r="A920" s="42" t="s">
        <v>1855</v>
      </c>
      <c r="B920" s="43">
        <v>3526</v>
      </c>
      <c r="C920" s="43" t="s">
        <v>1856</v>
      </c>
      <c r="D920" s="41" t="str">
        <f t="shared" si="14"/>
        <v>01173946</v>
      </c>
    </row>
    <row r="921" spans="1:4" ht="17">
      <c r="A921" s="42" t="s">
        <v>1857</v>
      </c>
      <c r="B921" s="43">
        <v>3529</v>
      </c>
      <c r="C921" s="43" t="s">
        <v>1858</v>
      </c>
      <c r="D921" s="41" t="str">
        <f t="shared" si="14"/>
        <v>01175192</v>
      </c>
    </row>
    <row r="922" spans="1:4" ht="17">
      <c r="A922" s="42" t="s">
        <v>1859</v>
      </c>
      <c r="B922" s="43">
        <v>3530</v>
      </c>
      <c r="C922" s="43" t="s">
        <v>1860</v>
      </c>
      <c r="D922" s="41" t="str">
        <f t="shared" si="14"/>
        <v>01175315</v>
      </c>
    </row>
    <row r="923" spans="1:4" ht="17">
      <c r="A923" s="42" t="s">
        <v>1861</v>
      </c>
      <c r="B923" s="43">
        <v>3537</v>
      </c>
      <c r="C923" s="43" t="s">
        <v>1862</v>
      </c>
      <c r="D923" s="41" t="str">
        <f t="shared" si="14"/>
        <v>CG001914</v>
      </c>
    </row>
    <row r="924" spans="1:4" ht="17">
      <c r="A924" s="42" t="s">
        <v>1863</v>
      </c>
      <c r="B924" s="43">
        <v>3538</v>
      </c>
      <c r="C924" s="43" t="s">
        <v>1864</v>
      </c>
      <c r="D924" s="41" t="str">
        <f t="shared" si="14"/>
        <v>01147666</v>
      </c>
    </row>
    <row r="925" spans="1:4" ht="17">
      <c r="A925" s="42" t="s">
        <v>1865</v>
      </c>
      <c r="B925" s="43">
        <v>3540</v>
      </c>
      <c r="C925" s="43" t="s">
        <v>1866</v>
      </c>
      <c r="D925" s="41" t="str">
        <f t="shared" si="14"/>
        <v>01152526</v>
      </c>
    </row>
    <row r="926" spans="1:4" ht="17">
      <c r="A926" s="42" t="s">
        <v>1867</v>
      </c>
      <c r="B926" s="43">
        <v>3542</v>
      </c>
      <c r="C926" s="43" t="s">
        <v>1868</v>
      </c>
      <c r="D926" s="41" t="str">
        <f t="shared" si="14"/>
        <v>01176843</v>
      </c>
    </row>
    <row r="927" spans="1:4" ht="17">
      <c r="A927" s="42" t="s">
        <v>1869</v>
      </c>
      <c r="B927" s="43">
        <v>3543</v>
      </c>
      <c r="C927" s="43" t="s">
        <v>1870</v>
      </c>
      <c r="D927" s="41" t="str">
        <f t="shared" si="14"/>
        <v>01176844</v>
      </c>
    </row>
    <row r="928" spans="1:4" ht="17">
      <c r="A928" s="42" t="s">
        <v>1871</v>
      </c>
      <c r="B928" s="43">
        <v>3544</v>
      </c>
      <c r="C928" s="43" t="s">
        <v>1872</v>
      </c>
      <c r="D928" s="41" t="str">
        <f t="shared" si="14"/>
        <v>01176845</v>
      </c>
    </row>
    <row r="929" spans="1:4" ht="17">
      <c r="A929" s="42" t="s">
        <v>1873</v>
      </c>
      <c r="B929" s="43">
        <v>3551</v>
      </c>
      <c r="C929" s="43" t="s">
        <v>1874</v>
      </c>
      <c r="D929" s="41" t="str">
        <f t="shared" si="14"/>
        <v>01176853</v>
      </c>
    </row>
    <row r="930" spans="1:4" ht="17">
      <c r="A930" s="42" t="s">
        <v>1875</v>
      </c>
      <c r="B930" s="43">
        <v>3552</v>
      </c>
      <c r="C930" s="43" t="s">
        <v>1876</v>
      </c>
      <c r="D930" s="41" t="str">
        <f t="shared" si="14"/>
        <v>01176854</v>
      </c>
    </row>
    <row r="931" spans="1:4" ht="17">
      <c r="A931" s="42" t="s">
        <v>1877</v>
      </c>
      <c r="B931" s="43">
        <v>3553</v>
      </c>
      <c r="C931" s="43" t="s">
        <v>1878</v>
      </c>
      <c r="D931" s="41" t="str">
        <f t="shared" si="14"/>
        <v>01176855</v>
      </c>
    </row>
    <row r="932" spans="1:4" ht="17">
      <c r="A932" s="42" t="s">
        <v>1879</v>
      </c>
      <c r="B932" s="43">
        <v>3555</v>
      </c>
      <c r="C932" s="43" t="s">
        <v>1880</v>
      </c>
      <c r="D932" s="41" t="str">
        <f t="shared" si="14"/>
        <v>01176857</v>
      </c>
    </row>
    <row r="933" spans="1:4" ht="17">
      <c r="A933" s="42" t="s">
        <v>1881</v>
      </c>
      <c r="B933" s="43">
        <v>3556</v>
      </c>
      <c r="C933" s="43" t="s">
        <v>1882</v>
      </c>
      <c r="D933" s="41" t="str">
        <f t="shared" si="14"/>
        <v>01176858</v>
      </c>
    </row>
    <row r="934" spans="1:4" ht="17">
      <c r="A934" s="42" t="s">
        <v>1883</v>
      </c>
      <c r="B934" s="43">
        <v>3557</v>
      </c>
      <c r="C934" s="43" t="s">
        <v>1884</v>
      </c>
      <c r="D934" s="41" t="str">
        <f t="shared" si="14"/>
        <v>01176859</v>
      </c>
    </row>
    <row r="935" spans="1:4" ht="17">
      <c r="A935" s="42" t="s">
        <v>1885</v>
      </c>
      <c r="B935" s="43">
        <v>3561</v>
      </c>
      <c r="C935" s="43" t="s">
        <v>1886</v>
      </c>
      <c r="D935" s="41" t="str">
        <f t="shared" si="14"/>
        <v>01176869</v>
      </c>
    </row>
    <row r="936" spans="1:4" ht="17">
      <c r="A936" s="42" t="s">
        <v>1887</v>
      </c>
      <c r="B936" s="43">
        <v>3562</v>
      </c>
      <c r="C936" s="43" t="s">
        <v>1888</v>
      </c>
      <c r="D936" s="41" t="str">
        <f t="shared" si="14"/>
        <v>01177022</v>
      </c>
    </row>
    <row r="937" spans="1:4" ht="17">
      <c r="A937" s="42" t="s">
        <v>1889</v>
      </c>
      <c r="B937" s="43">
        <v>3564</v>
      </c>
      <c r="C937" s="43" t="s">
        <v>1890</v>
      </c>
      <c r="D937" s="41" t="str">
        <f t="shared" si="14"/>
        <v>01178151</v>
      </c>
    </row>
    <row r="938" spans="1:4" ht="17">
      <c r="A938" s="42" t="s">
        <v>1891</v>
      </c>
      <c r="B938" s="43">
        <v>3569</v>
      </c>
      <c r="C938" s="43" t="s">
        <v>1892</v>
      </c>
      <c r="D938" s="41" t="str">
        <f t="shared" si="14"/>
        <v>01179032</v>
      </c>
    </row>
    <row r="939" spans="1:4" ht="17">
      <c r="A939" s="42" t="s">
        <v>1893</v>
      </c>
      <c r="B939" s="43">
        <v>3573</v>
      </c>
      <c r="C939" s="43" t="s">
        <v>1894</v>
      </c>
      <c r="D939" s="41" t="str">
        <f t="shared" si="14"/>
        <v>01179036</v>
      </c>
    </row>
    <row r="940" spans="1:4" ht="17">
      <c r="A940" s="42" t="s">
        <v>1895</v>
      </c>
      <c r="B940" s="43">
        <v>3574</v>
      </c>
      <c r="C940" s="43" t="s">
        <v>1896</v>
      </c>
      <c r="D940" s="41" t="str">
        <f t="shared" si="14"/>
        <v>01179037</v>
      </c>
    </row>
    <row r="941" spans="1:4" ht="17">
      <c r="A941" s="42" t="s">
        <v>1897</v>
      </c>
      <c r="B941" s="43">
        <v>3575</v>
      </c>
      <c r="C941" s="43" t="s">
        <v>1898</v>
      </c>
      <c r="D941" s="41" t="str">
        <f t="shared" si="14"/>
        <v>01179038</v>
      </c>
    </row>
    <row r="942" spans="1:4" ht="17">
      <c r="A942" s="42" t="s">
        <v>1899</v>
      </c>
      <c r="B942" s="43">
        <v>3576</v>
      </c>
      <c r="C942" s="43" t="s">
        <v>1074</v>
      </c>
      <c r="D942" s="41" t="str">
        <f t="shared" si="14"/>
        <v>01179039</v>
      </c>
    </row>
    <row r="943" spans="1:4" ht="17">
      <c r="A943" s="42" t="s">
        <v>1900</v>
      </c>
      <c r="B943" s="43">
        <v>3577</v>
      </c>
      <c r="C943" s="43" t="s">
        <v>1901</v>
      </c>
      <c r="D943" s="41" t="str">
        <f t="shared" si="14"/>
        <v>01179040</v>
      </c>
    </row>
    <row r="944" spans="1:4" ht="17">
      <c r="A944" s="42" t="s">
        <v>1902</v>
      </c>
      <c r="B944" s="43">
        <v>3580</v>
      </c>
      <c r="C944" s="43" t="s">
        <v>1903</v>
      </c>
      <c r="D944" s="41" t="str">
        <f t="shared" si="14"/>
        <v>01179043</v>
      </c>
    </row>
    <row r="945" spans="1:4" ht="17">
      <c r="A945" s="42" t="s">
        <v>1904</v>
      </c>
      <c r="B945" s="43">
        <v>3581</v>
      </c>
      <c r="C945" s="43" t="s">
        <v>1905</v>
      </c>
      <c r="D945" s="41" t="str">
        <f t="shared" si="14"/>
        <v>01179044</v>
      </c>
    </row>
    <row r="946" spans="1:4" ht="17">
      <c r="A946" s="42" t="s">
        <v>1906</v>
      </c>
      <c r="B946" s="43">
        <v>3582</v>
      </c>
      <c r="C946" s="43" t="s">
        <v>1907</v>
      </c>
      <c r="D946" s="41" t="str">
        <f t="shared" si="14"/>
        <v>01179045</v>
      </c>
    </row>
    <row r="947" spans="1:4" ht="17">
      <c r="A947" s="42" t="s">
        <v>1908</v>
      </c>
      <c r="B947" s="43">
        <v>3585</v>
      </c>
      <c r="C947" s="43" t="s">
        <v>1909</v>
      </c>
      <c r="D947" s="41" t="str">
        <f t="shared" si="14"/>
        <v>01179168</v>
      </c>
    </row>
    <row r="948" spans="1:4" ht="17">
      <c r="A948" s="42" t="s">
        <v>1910</v>
      </c>
      <c r="B948" s="43">
        <v>3590</v>
      </c>
      <c r="C948" s="43" t="s">
        <v>1911</v>
      </c>
      <c r="D948" s="41" t="str">
        <f t="shared" si="14"/>
        <v>01180614</v>
      </c>
    </row>
    <row r="949" spans="1:4" ht="17">
      <c r="A949" s="42" t="s">
        <v>1912</v>
      </c>
      <c r="B949" s="43">
        <v>3597</v>
      </c>
      <c r="C949" s="43" t="s">
        <v>1913</v>
      </c>
      <c r="D949" s="41" t="str">
        <f t="shared" si="14"/>
        <v>01180848</v>
      </c>
    </row>
    <row r="950" spans="1:4" ht="17">
      <c r="A950" s="42" t="s">
        <v>1914</v>
      </c>
      <c r="B950" s="43">
        <v>3600</v>
      </c>
      <c r="C950" s="43" t="s">
        <v>1915</v>
      </c>
      <c r="D950" s="41" t="str">
        <f t="shared" si="14"/>
        <v>01182549</v>
      </c>
    </row>
    <row r="951" spans="1:4" ht="17">
      <c r="A951" s="42" t="s">
        <v>1916</v>
      </c>
      <c r="B951" s="43">
        <v>3601</v>
      </c>
      <c r="C951" s="43" t="s">
        <v>1917</v>
      </c>
      <c r="D951" s="41" t="str">
        <f t="shared" si="14"/>
        <v>01182556</v>
      </c>
    </row>
    <row r="952" spans="1:4" ht="17">
      <c r="A952" s="42" t="s">
        <v>1918</v>
      </c>
      <c r="B952" s="43">
        <v>3602</v>
      </c>
      <c r="C952" s="43" t="s">
        <v>1919</v>
      </c>
      <c r="D952" s="41" t="str">
        <f t="shared" si="14"/>
        <v>01182559</v>
      </c>
    </row>
    <row r="953" spans="1:4" ht="17">
      <c r="A953" s="42" t="s">
        <v>1920</v>
      </c>
      <c r="B953" s="43">
        <v>3613</v>
      </c>
      <c r="C953" s="43" t="s">
        <v>1921</v>
      </c>
      <c r="D953" s="41" t="str">
        <f t="shared" si="14"/>
        <v>01186440</v>
      </c>
    </row>
    <row r="954" spans="1:4" ht="17">
      <c r="A954" s="42" t="s">
        <v>1922</v>
      </c>
      <c r="B954" s="43">
        <v>3614</v>
      </c>
      <c r="C954" s="43" t="s">
        <v>1923</v>
      </c>
      <c r="D954" s="41" t="str">
        <f t="shared" si="14"/>
        <v>01186452</v>
      </c>
    </row>
    <row r="955" spans="1:4" ht="17">
      <c r="A955" s="42" t="s">
        <v>1924</v>
      </c>
      <c r="B955" s="43">
        <v>3615</v>
      </c>
      <c r="C955" s="43" t="s">
        <v>1925</v>
      </c>
      <c r="D955" s="41" t="str">
        <f t="shared" si="14"/>
        <v>01186451</v>
      </c>
    </row>
    <row r="956" spans="1:4" ht="17">
      <c r="A956" s="42" t="s">
        <v>1926</v>
      </c>
      <c r="B956" s="43">
        <v>3621</v>
      </c>
      <c r="C956" s="43" t="s">
        <v>1927</v>
      </c>
      <c r="D956" s="41" t="str">
        <f t="shared" si="14"/>
        <v>01187737</v>
      </c>
    </row>
    <row r="957" spans="1:4" ht="17">
      <c r="A957" s="42" t="s">
        <v>1928</v>
      </c>
      <c r="B957" s="43">
        <v>3623</v>
      </c>
      <c r="C957" s="43" t="s">
        <v>1929</v>
      </c>
      <c r="D957" s="41" t="str">
        <f t="shared" si="14"/>
        <v>01187984</v>
      </c>
    </row>
    <row r="958" spans="1:4" ht="17">
      <c r="A958" s="42" t="s">
        <v>1930</v>
      </c>
      <c r="B958" s="43">
        <v>3626</v>
      </c>
      <c r="C958" s="43" t="s">
        <v>1931</v>
      </c>
      <c r="D958" s="41" t="str">
        <f t="shared" si="14"/>
        <v>01189262</v>
      </c>
    </row>
    <row r="959" spans="1:4" ht="17">
      <c r="A959" s="42" t="s">
        <v>1932</v>
      </c>
      <c r="B959" s="43">
        <v>3627</v>
      </c>
      <c r="C959" s="43" t="s">
        <v>1933</v>
      </c>
      <c r="D959" s="41" t="str">
        <f t="shared" si="14"/>
        <v>01189699</v>
      </c>
    </row>
    <row r="960" spans="1:4" ht="17">
      <c r="A960" s="42" t="s">
        <v>1934</v>
      </c>
      <c r="B960" s="43">
        <v>3633</v>
      </c>
      <c r="C960" s="43" t="s">
        <v>1935</v>
      </c>
      <c r="D960" s="41" t="str">
        <f t="shared" si="14"/>
        <v>DE001659</v>
      </c>
    </row>
    <row r="961" spans="1:4" ht="17">
      <c r="A961" s="42" t="s">
        <v>1936</v>
      </c>
      <c r="B961" s="43">
        <v>3634</v>
      </c>
      <c r="C961" s="43" t="s">
        <v>1937</v>
      </c>
      <c r="D961" s="41" t="str">
        <f t="shared" si="14"/>
        <v>01192542</v>
      </c>
    </row>
    <row r="962" spans="1:4" ht="17">
      <c r="A962" s="42" t="s">
        <v>1938</v>
      </c>
      <c r="B962" s="43">
        <v>3635</v>
      </c>
      <c r="C962" s="43" t="s">
        <v>1939</v>
      </c>
      <c r="D962" s="41" t="str">
        <f t="shared" si="14"/>
        <v>01192547</v>
      </c>
    </row>
    <row r="963" spans="1:4" ht="17">
      <c r="A963" s="42" t="s">
        <v>1940</v>
      </c>
      <c r="B963" s="43">
        <v>3636</v>
      </c>
      <c r="C963" s="43" t="s">
        <v>1941</v>
      </c>
      <c r="D963" s="41" t="str">
        <f t="shared" ref="D963:D1026" si="15">TEXT(A963,"00000000")</f>
        <v>01192550</v>
      </c>
    </row>
    <row r="964" spans="1:4" ht="17">
      <c r="A964" s="42" t="s">
        <v>1942</v>
      </c>
      <c r="B964" s="43">
        <v>3637</v>
      </c>
      <c r="C964" s="43" t="s">
        <v>1943</v>
      </c>
      <c r="D964" s="41" t="str">
        <f t="shared" si="15"/>
        <v>01192837</v>
      </c>
    </row>
    <row r="965" spans="1:4" ht="17">
      <c r="A965" s="42" t="s">
        <v>1944</v>
      </c>
      <c r="B965" s="43">
        <v>3640</v>
      </c>
      <c r="C965" s="43" t="s">
        <v>1945</v>
      </c>
      <c r="D965" s="41" t="str">
        <f t="shared" si="15"/>
        <v>01193404</v>
      </c>
    </row>
    <row r="966" spans="1:4" ht="17">
      <c r="A966" s="42" t="s">
        <v>1946</v>
      </c>
      <c r="B966" s="43">
        <v>3641</v>
      </c>
      <c r="C966" s="43" t="s">
        <v>1947</v>
      </c>
      <c r="D966" s="41" t="str">
        <f t="shared" si="15"/>
        <v>01193553</v>
      </c>
    </row>
    <row r="967" spans="1:4" ht="17">
      <c r="A967" s="42" t="s">
        <v>1948</v>
      </c>
      <c r="B967" s="43">
        <v>3645</v>
      </c>
      <c r="C967" s="43" t="s">
        <v>1949</v>
      </c>
      <c r="D967" s="41" t="str">
        <f t="shared" si="15"/>
        <v>01194210</v>
      </c>
    </row>
    <row r="968" spans="1:4" ht="17">
      <c r="A968" s="42" t="s">
        <v>1950</v>
      </c>
      <c r="B968" s="43">
        <v>3649</v>
      </c>
      <c r="C968" s="43" t="s">
        <v>1951</v>
      </c>
      <c r="D968" s="41" t="str">
        <f t="shared" si="15"/>
        <v>01194481</v>
      </c>
    </row>
    <row r="969" spans="1:4" ht="17">
      <c r="A969" s="42" t="s">
        <v>1952</v>
      </c>
      <c r="B969" s="43">
        <v>3650</v>
      </c>
      <c r="C969" s="43" t="s">
        <v>1953</v>
      </c>
      <c r="D969" s="41" t="str">
        <f t="shared" si="15"/>
        <v>01195541</v>
      </c>
    </row>
    <row r="970" spans="1:4" ht="17">
      <c r="A970" s="42" t="s">
        <v>1954</v>
      </c>
      <c r="B970" s="43">
        <v>3654</v>
      </c>
      <c r="C970" s="43" t="s">
        <v>1955</v>
      </c>
      <c r="D970" s="41" t="str">
        <f t="shared" si="15"/>
        <v>01197034</v>
      </c>
    </row>
    <row r="971" spans="1:4" ht="17">
      <c r="A971" s="42" t="s">
        <v>1956</v>
      </c>
      <c r="B971" s="43">
        <v>3656</v>
      </c>
      <c r="C971" s="43" t="s">
        <v>1957</v>
      </c>
      <c r="D971" s="41" t="str">
        <f t="shared" si="15"/>
        <v>01197027</v>
      </c>
    </row>
    <row r="972" spans="1:4" ht="17">
      <c r="A972" s="42" t="s">
        <v>1958</v>
      </c>
      <c r="B972" s="43">
        <v>3657</v>
      </c>
      <c r="C972" s="43" t="s">
        <v>1959</v>
      </c>
      <c r="D972" s="41" t="str">
        <f t="shared" si="15"/>
        <v>01197028</v>
      </c>
    </row>
    <row r="973" spans="1:4" ht="17">
      <c r="A973" s="42" t="s">
        <v>1960</v>
      </c>
      <c r="B973" s="43">
        <v>3661</v>
      </c>
      <c r="C973" s="43" t="s">
        <v>1961</v>
      </c>
      <c r="D973" s="41" t="str">
        <f t="shared" si="15"/>
        <v>01197638</v>
      </c>
    </row>
    <row r="974" spans="1:4" ht="17">
      <c r="A974" s="42" t="s">
        <v>1962</v>
      </c>
      <c r="B974" s="43">
        <v>3672</v>
      </c>
      <c r="C974" s="43" t="s">
        <v>1963</v>
      </c>
      <c r="D974" s="41" t="str">
        <f t="shared" si="15"/>
        <v>01203967</v>
      </c>
    </row>
    <row r="975" spans="1:4" ht="17">
      <c r="A975" s="42" t="s">
        <v>1964</v>
      </c>
      <c r="B975" s="43">
        <v>3674</v>
      </c>
      <c r="C975" s="43" t="s">
        <v>1965</v>
      </c>
      <c r="D975" s="41" t="str">
        <f t="shared" si="15"/>
        <v>01204447</v>
      </c>
    </row>
    <row r="976" spans="1:4" ht="17">
      <c r="A976" s="42" t="s">
        <v>1966</v>
      </c>
      <c r="B976" s="43">
        <v>3676</v>
      </c>
      <c r="C976" s="43" t="s">
        <v>1967</v>
      </c>
      <c r="D976" s="41" t="str">
        <f t="shared" si="15"/>
        <v>01204625</v>
      </c>
    </row>
    <row r="977" spans="1:4" ht="17">
      <c r="A977" s="42" t="s">
        <v>1968</v>
      </c>
      <c r="B977" s="43">
        <v>3677</v>
      </c>
      <c r="C977" s="43" t="s">
        <v>1969</v>
      </c>
      <c r="D977" s="41" t="str">
        <f t="shared" si="15"/>
        <v>01205102</v>
      </c>
    </row>
    <row r="978" spans="1:4" ht="17">
      <c r="A978" s="42" t="s">
        <v>1970</v>
      </c>
      <c r="B978" s="43">
        <v>3680</v>
      </c>
      <c r="C978" s="43" t="s">
        <v>1971</v>
      </c>
      <c r="D978" s="41" t="str">
        <f t="shared" si="15"/>
        <v>01205279</v>
      </c>
    </row>
    <row r="979" spans="1:4" ht="17">
      <c r="A979" s="42" t="s">
        <v>1972</v>
      </c>
      <c r="B979" s="43">
        <v>3681</v>
      </c>
      <c r="C979" s="43" t="s">
        <v>1973</v>
      </c>
      <c r="D979" s="41" t="str">
        <f t="shared" si="15"/>
        <v>01205246</v>
      </c>
    </row>
    <row r="980" spans="1:4" ht="17">
      <c r="A980" s="42" t="s">
        <v>1974</v>
      </c>
      <c r="B980" s="43">
        <v>3687</v>
      </c>
      <c r="C980" s="43" t="s">
        <v>1975</v>
      </c>
      <c r="D980" s="41" t="str">
        <f t="shared" si="15"/>
        <v>01206873</v>
      </c>
    </row>
    <row r="981" spans="1:4" ht="17">
      <c r="A981" s="42" t="s">
        <v>1976</v>
      </c>
      <c r="B981" s="43">
        <v>3688</v>
      </c>
      <c r="C981" s="43" t="s">
        <v>1977</v>
      </c>
      <c r="D981" s="41" t="str">
        <f t="shared" si="15"/>
        <v>01206866</v>
      </c>
    </row>
    <row r="982" spans="1:4" ht="17">
      <c r="A982" s="42" t="s">
        <v>1978</v>
      </c>
      <c r="B982" s="43">
        <v>3689</v>
      </c>
      <c r="C982" s="43" t="s">
        <v>1979</v>
      </c>
      <c r="D982" s="41" t="str">
        <f t="shared" si="15"/>
        <v>CG002823</v>
      </c>
    </row>
    <row r="983" spans="1:4" ht="17">
      <c r="A983" s="42" t="s">
        <v>1980</v>
      </c>
      <c r="B983" s="43">
        <v>3692</v>
      </c>
      <c r="C983" s="43" t="s">
        <v>1981</v>
      </c>
      <c r="D983" s="41" t="str">
        <f t="shared" si="15"/>
        <v>01207277</v>
      </c>
    </row>
    <row r="984" spans="1:4" ht="17">
      <c r="A984" s="42" t="s">
        <v>1982</v>
      </c>
      <c r="B984" s="43">
        <v>3694</v>
      </c>
      <c r="C984" s="43" t="s">
        <v>1983</v>
      </c>
      <c r="D984" s="41" t="str">
        <f t="shared" si="15"/>
        <v>01208071</v>
      </c>
    </row>
    <row r="985" spans="1:4" ht="17">
      <c r="A985" s="42" t="s">
        <v>1984</v>
      </c>
      <c r="B985" s="43">
        <v>3697</v>
      </c>
      <c r="C985" s="43" t="s">
        <v>1985</v>
      </c>
      <c r="D985" s="41" t="str">
        <f t="shared" si="15"/>
        <v>01208361</v>
      </c>
    </row>
    <row r="986" spans="1:4" ht="17">
      <c r="A986" s="42" t="s">
        <v>1986</v>
      </c>
      <c r="B986" s="43">
        <v>3698</v>
      </c>
      <c r="C986" s="43" t="s">
        <v>1987</v>
      </c>
      <c r="D986" s="41" t="str">
        <f t="shared" si="15"/>
        <v>01208364</v>
      </c>
    </row>
    <row r="987" spans="1:4" ht="17">
      <c r="A987" s="42" t="s">
        <v>1988</v>
      </c>
      <c r="B987" s="43">
        <v>3699</v>
      </c>
      <c r="C987" s="43" t="s">
        <v>1989</v>
      </c>
      <c r="D987" s="41" t="str">
        <f t="shared" si="15"/>
        <v>01208614</v>
      </c>
    </row>
    <row r="988" spans="1:4" ht="17">
      <c r="A988" s="42" t="s">
        <v>1990</v>
      </c>
      <c r="B988" s="43">
        <v>3701</v>
      </c>
      <c r="C988" s="43" t="s">
        <v>1991</v>
      </c>
      <c r="D988" s="41" t="str">
        <f t="shared" si="15"/>
        <v>01208617</v>
      </c>
    </row>
    <row r="989" spans="1:4" ht="17">
      <c r="A989" s="42" t="s">
        <v>1992</v>
      </c>
      <c r="B989" s="43">
        <v>3702</v>
      </c>
      <c r="C989" s="43" t="s">
        <v>1993</v>
      </c>
      <c r="D989" s="41" t="str">
        <f t="shared" si="15"/>
        <v>01208613</v>
      </c>
    </row>
    <row r="990" spans="1:4" ht="17">
      <c r="A990" s="42" t="s">
        <v>1994</v>
      </c>
      <c r="B990" s="43">
        <v>3708</v>
      </c>
      <c r="C990" s="43" t="s">
        <v>1995</v>
      </c>
      <c r="D990" s="41" t="str">
        <f t="shared" si="15"/>
        <v>01221891</v>
      </c>
    </row>
    <row r="991" spans="1:4" ht="17">
      <c r="A991" s="42" t="s">
        <v>1996</v>
      </c>
      <c r="B991" s="43">
        <v>3710</v>
      </c>
      <c r="C991" s="43" t="s">
        <v>1997</v>
      </c>
      <c r="D991" s="41" t="str">
        <f t="shared" si="15"/>
        <v>01221992</v>
      </c>
    </row>
    <row r="992" spans="1:4" ht="17">
      <c r="A992" s="42" t="s">
        <v>1998</v>
      </c>
      <c r="B992" s="43">
        <v>3714</v>
      </c>
      <c r="C992" s="43" t="s">
        <v>1999</v>
      </c>
      <c r="D992" s="41" t="str">
        <f t="shared" si="15"/>
        <v>01222395</v>
      </c>
    </row>
    <row r="993" spans="1:4" ht="17">
      <c r="A993" s="42" t="s">
        <v>2000</v>
      </c>
      <c r="B993" s="43">
        <v>3715</v>
      </c>
      <c r="C993" s="43" t="s">
        <v>2001</v>
      </c>
      <c r="D993" s="41" t="str">
        <f t="shared" si="15"/>
        <v>01222396</v>
      </c>
    </row>
    <row r="994" spans="1:4" ht="17">
      <c r="A994" s="42" t="s">
        <v>2002</v>
      </c>
      <c r="B994" s="43">
        <v>3717</v>
      </c>
      <c r="C994" s="43" t="s">
        <v>2003</v>
      </c>
      <c r="D994" s="41" t="str">
        <f t="shared" si="15"/>
        <v>01228494</v>
      </c>
    </row>
    <row r="995" spans="1:4" ht="17">
      <c r="A995" s="42" t="s">
        <v>2004</v>
      </c>
      <c r="B995" s="43">
        <v>3718</v>
      </c>
      <c r="C995" s="43" t="s">
        <v>2005</v>
      </c>
      <c r="D995" s="41" t="str">
        <f t="shared" si="15"/>
        <v>01229576</v>
      </c>
    </row>
    <row r="996" spans="1:4" ht="17">
      <c r="A996" s="42" t="s">
        <v>2006</v>
      </c>
      <c r="B996" s="43">
        <v>3722</v>
      </c>
      <c r="C996" s="43" t="s">
        <v>2007</v>
      </c>
      <c r="D996" s="41" t="str">
        <f t="shared" si="15"/>
        <v>01237876</v>
      </c>
    </row>
    <row r="997" spans="1:4" ht="17">
      <c r="A997" s="42" t="s">
        <v>2008</v>
      </c>
      <c r="B997" s="43">
        <v>3724</v>
      </c>
      <c r="C997" s="43" t="s">
        <v>726</v>
      </c>
      <c r="D997" s="41" t="str">
        <f t="shared" si="15"/>
        <v>01241870</v>
      </c>
    </row>
    <row r="998" spans="1:4" ht="17">
      <c r="A998" s="42" t="s">
        <v>2009</v>
      </c>
      <c r="B998" s="43">
        <v>3726</v>
      </c>
      <c r="C998" s="43" t="s">
        <v>2010</v>
      </c>
      <c r="D998" s="41" t="str">
        <f t="shared" si="15"/>
        <v>01241883</v>
      </c>
    </row>
    <row r="999" spans="1:4" ht="17">
      <c r="A999" s="42" t="s">
        <v>2011</v>
      </c>
      <c r="B999" s="43">
        <v>3728</v>
      </c>
      <c r="C999" s="43" t="s">
        <v>2012</v>
      </c>
      <c r="D999" s="41" t="str">
        <f t="shared" si="15"/>
        <v>01241848</v>
      </c>
    </row>
    <row r="1000" spans="1:4" ht="17">
      <c r="A1000" s="42" t="s">
        <v>2013</v>
      </c>
      <c r="B1000" s="43">
        <v>3729</v>
      </c>
      <c r="C1000" s="43" t="s">
        <v>2014</v>
      </c>
      <c r="D1000" s="41" t="str">
        <f t="shared" si="15"/>
        <v>01241834</v>
      </c>
    </row>
    <row r="1001" spans="1:4" ht="17">
      <c r="A1001" s="42" t="s">
        <v>2015</v>
      </c>
      <c r="B1001" s="43">
        <v>3734</v>
      </c>
      <c r="C1001" s="43" t="s">
        <v>2016</v>
      </c>
      <c r="D1001" s="41" t="str">
        <f t="shared" si="15"/>
        <v>01241826</v>
      </c>
    </row>
    <row r="1002" spans="1:4" ht="17">
      <c r="A1002" s="42" t="s">
        <v>2017</v>
      </c>
      <c r="B1002" s="43">
        <v>3738</v>
      </c>
      <c r="C1002" s="43" t="s">
        <v>2018</v>
      </c>
      <c r="D1002" s="41" t="str">
        <f t="shared" si="15"/>
        <v>01241880</v>
      </c>
    </row>
    <row r="1003" spans="1:4" ht="17">
      <c r="A1003" s="42" t="s">
        <v>2019</v>
      </c>
      <c r="B1003" s="43">
        <v>3744</v>
      </c>
      <c r="C1003" s="43" t="s">
        <v>2020</v>
      </c>
      <c r="D1003" s="41" t="str">
        <f t="shared" si="15"/>
        <v>01249474</v>
      </c>
    </row>
    <row r="1004" spans="1:4" ht="17">
      <c r="A1004" s="42" t="s">
        <v>2021</v>
      </c>
      <c r="B1004" s="43">
        <v>3751</v>
      </c>
      <c r="C1004" s="43" t="s">
        <v>2022</v>
      </c>
      <c r="D1004" s="41" t="str">
        <f t="shared" si="15"/>
        <v>01257337</v>
      </c>
    </row>
    <row r="1005" spans="1:4" ht="17">
      <c r="A1005" s="42" t="s">
        <v>2023</v>
      </c>
      <c r="B1005" s="43">
        <v>3755</v>
      </c>
      <c r="C1005" s="43" t="s">
        <v>2024</v>
      </c>
      <c r="D1005" s="41" t="str">
        <f t="shared" si="15"/>
        <v>01279247</v>
      </c>
    </row>
    <row r="1006" spans="1:4" ht="17">
      <c r="A1006" s="42" t="s">
        <v>2025</v>
      </c>
      <c r="B1006" s="43">
        <v>3759</v>
      </c>
      <c r="C1006" s="43" t="s">
        <v>2026</v>
      </c>
      <c r="D1006" s="41" t="str">
        <f t="shared" si="15"/>
        <v>01280901</v>
      </c>
    </row>
    <row r="1007" spans="1:4" ht="17">
      <c r="A1007" s="42" t="s">
        <v>2027</v>
      </c>
      <c r="B1007" s="43">
        <v>3761</v>
      </c>
      <c r="C1007" s="43" t="s">
        <v>2028</v>
      </c>
      <c r="D1007" s="41" t="str">
        <f t="shared" si="15"/>
        <v>01284593</v>
      </c>
    </row>
    <row r="1008" spans="1:4" ht="17">
      <c r="A1008" s="42" t="s">
        <v>2029</v>
      </c>
      <c r="B1008" s="43">
        <v>3767</v>
      </c>
      <c r="C1008" s="43" t="s">
        <v>2030</v>
      </c>
      <c r="D1008" s="41" t="str">
        <f t="shared" si="15"/>
        <v>01299302</v>
      </c>
    </row>
    <row r="1009" spans="1:4" ht="17">
      <c r="A1009" s="42" t="s">
        <v>2031</v>
      </c>
      <c r="B1009" s="43">
        <v>3768</v>
      </c>
      <c r="C1009" s="43" t="s">
        <v>2032</v>
      </c>
      <c r="D1009" s="41" t="str">
        <f t="shared" si="15"/>
        <v>01299303</v>
      </c>
    </row>
    <row r="1010" spans="1:4" ht="17">
      <c r="A1010" s="42" t="s">
        <v>2033</v>
      </c>
      <c r="B1010" s="43">
        <v>3769</v>
      </c>
      <c r="C1010" s="43" t="s">
        <v>2034</v>
      </c>
      <c r="D1010" s="41" t="str">
        <f t="shared" si="15"/>
        <v>01299305</v>
      </c>
    </row>
    <row r="1011" spans="1:4" ht="17">
      <c r="A1011" s="42" t="s">
        <v>2035</v>
      </c>
      <c r="B1011" s="43">
        <v>3771</v>
      </c>
      <c r="C1011" s="43" t="s">
        <v>2036</v>
      </c>
      <c r="D1011" s="41" t="str">
        <f t="shared" si="15"/>
        <v>01299307</v>
      </c>
    </row>
    <row r="1012" spans="1:4" ht="17">
      <c r="A1012" s="42" t="s">
        <v>2037</v>
      </c>
      <c r="B1012" s="43">
        <v>3773</v>
      </c>
      <c r="C1012" s="43" t="s">
        <v>2038</v>
      </c>
      <c r="D1012" s="41" t="str">
        <f t="shared" si="15"/>
        <v>01299604</v>
      </c>
    </row>
    <row r="1013" spans="1:4" ht="17">
      <c r="A1013" s="42" t="s">
        <v>2039</v>
      </c>
      <c r="B1013" s="43">
        <v>3774</v>
      </c>
      <c r="C1013" s="43" t="s">
        <v>2040</v>
      </c>
      <c r="D1013" s="41" t="str">
        <f t="shared" si="15"/>
        <v>01301696</v>
      </c>
    </row>
    <row r="1014" spans="1:4" ht="17">
      <c r="A1014" s="42" t="s">
        <v>2041</v>
      </c>
      <c r="B1014" s="43">
        <v>3776</v>
      </c>
      <c r="C1014" s="43" t="s">
        <v>1778</v>
      </c>
      <c r="D1014" s="41" t="str">
        <f t="shared" si="15"/>
        <v>01302860</v>
      </c>
    </row>
    <row r="1015" spans="1:4" ht="17">
      <c r="A1015" s="42" t="s">
        <v>2042</v>
      </c>
      <c r="B1015" s="43">
        <v>3777</v>
      </c>
      <c r="C1015" s="43" t="s">
        <v>2043</v>
      </c>
      <c r="D1015" s="41" t="str">
        <f t="shared" si="15"/>
        <v>01303033</v>
      </c>
    </row>
    <row r="1016" spans="1:4" ht="17">
      <c r="A1016" s="42" t="s">
        <v>2044</v>
      </c>
      <c r="B1016" s="43">
        <v>3781</v>
      </c>
      <c r="C1016" s="43" t="s">
        <v>2045</v>
      </c>
      <c r="D1016" s="41" t="str">
        <f t="shared" si="15"/>
        <v>01303708</v>
      </c>
    </row>
    <row r="1017" spans="1:4" ht="17">
      <c r="A1017" s="42" t="s">
        <v>2046</v>
      </c>
      <c r="B1017" s="43">
        <v>3783</v>
      </c>
      <c r="C1017" s="43" t="s">
        <v>2047</v>
      </c>
      <c r="D1017" s="41" t="str">
        <f t="shared" si="15"/>
        <v>01303800</v>
      </c>
    </row>
    <row r="1018" spans="1:4" ht="17">
      <c r="A1018" s="42" t="s">
        <v>2048</v>
      </c>
      <c r="B1018" s="43">
        <v>3784</v>
      </c>
      <c r="C1018" s="43" t="s">
        <v>2049</v>
      </c>
      <c r="D1018" s="41" t="str">
        <f t="shared" si="15"/>
        <v>01303837</v>
      </c>
    </row>
    <row r="1019" spans="1:4" ht="17">
      <c r="A1019" s="42" t="s">
        <v>2050</v>
      </c>
      <c r="B1019" s="43">
        <v>3785</v>
      </c>
      <c r="C1019" s="43" t="s">
        <v>2051</v>
      </c>
      <c r="D1019" s="41" t="str">
        <f t="shared" si="15"/>
        <v>01303799</v>
      </c>
    </row>
    <row r="1020" spans="1:4" ht="17">
      <c r="A1020" s="42" t="s">
        <v>2052</v>
      </c>
      <c r="B1020" s="43">
        <v>3787</v>
      </c>
      <c r="C1020" s="43" t="s">
        <v>2053</v>
      </c>
      <c r="D1020" s="41" t="str">
        <f t="shared" si="15"/>
        <v>01303964</v>
      </c>
    </row>
    <row r="1021" spans="1:4" ht="17">
      <c r="A1021" s="42" t="s">
        <v>2054</v>
      </c>
      <c r="B1021" s="43">
        <v>3788</v>
      </c>
      <c r="C1021" s="43" t="s">
        <v>2055</v>
      </c>
      <c r="D1021" s="41" t="str">
        <f t="shared" si="15"/>
        <v>01303966</v>
      </c>
    </row>
    <row r="1022" spans="1:4" ht="17">
      <c r="A1022" s="42" t="s">
        <v>2056</v>
      </c>
      <c r="B1022" s="43">
        <v>3790</v>
      </c>
      <c r="C1022" s="43" t="s">
        <v>2057</v>
      </c>
      <c r="D1022" s="41" t="str">
        <f t="shared" si="15"/>
        <v>01304016</v>
      </c>
    </row>
    <row r="1023" spans="1:4" ht="17">
      <c r="A1023" s="42" t="s">
        <v>2058</v>
      </c>
      <c r="B1023" s="43">
        <v>3793</v>
      </c>
      <c r="C1023" s="43" t="s">
        <v>2059</v>
      </c>
      <c r="D1023" s="41" t="str">
        <f t="shared" si="15"/>
        <v>01305234</v>
      </c>
    </row>
    <row r="1024" spans="1:4" ht="17">
      <c r="A1024" s="42" t="s">
        <v>2060</v>
      </c>
      <c r="B1024" s="43">
        <v>3797</v>
      </c>
      <c r="C1024" s="43" t="s">
        <v>2061</v>
      </c>
      <c r="D1024" s="41" t="str">
        <f t="shared" si="15"/>
        <v>01305718</v>
      </c>
    </row>
    <row r="1025" spans="1:4" ht="17">
      <c r="A1025" s="42" t="s">
        <v>2062</v>
      </c>
      <c r="B1025" s="43">
        <v>3806</v>
      </c>
      <c r="C1025" s="43" t="s">
        <v>2063</v>
      </c>
      <c r="D1025" s="41" t="str">
        <f t="shared" si="15"/>
        <v>01306796</v>
      </c>
    </row>
    <row r="1026" spans="1:4" ht="17">
      <c r="A1026" s="42" t="s">
        <v>2064</v>
      </c>
      <c r="B1026" s="43">
        <v>3815</v>
      </c>
      <c r="C1026" s="43" t="s">
        <v>164</v>
      </c>
      <c r="D1026" s="41" t="str">
        <f t="shared" si="15"/>
        <v>01307541</v>
      </c>
    </row>
    <row r="1027" spans="1:4" ht="17">
      <c r="A1027" s="42" t="s">
        <v>2065</v>
      </c>
      <c r="B1027" s="43">
        <v>3820</v>
      </c>
      <c r="C1027" s="43" t="s">
        <v>2066</v>
      </c>
      <c r="D1027" s="41" t="str">
        <f t="shared" ref="D1027:D1090" si="16">TEXT(A1027,"00000000")</f>
        <v>01308108</v>
      </c>
    </row>
    <row r="1028" spans="1:4" ht="17">
      <c r="A1028" s="42" t="s">
        <v>2067</v>
      </c>
      <c r="B1028" s="43">
        <v>3821</v>
      </c>
      <c r="C1028" s="43" t="s">
        <v>2068</v>
      </c>
      <c r="D1028" s="41" t="str">
        <f t="shared" si="16"/>
        <v>01308212</v>
      </c>
    </row>
    <row r="1029" spans="1:4" ht="17">
      <c r="A1029" s="42" t="s">
        <v>2069</v>
      </c>
      <c r="B1029" s="43">
        <v>3825</v>
      </c>
      <c r="C1029" s="43" t="s">
        <v>2070</v>
      </c>
      <c r="D1029" s="41" t="str">
        <f t="shared" si="16"/>
        <v>01308529</v>
      </c>
    </row>
    <row r="1030" spans="1:4" ht="17">
      <c r="A1030" s="42" t="s">
        <v>2071</v>
      </c>
      <c r="B1030" s="43">
        <v>3826</v>
      </c>
      <c r="C1030" s="43" t="s">
        <v>2072</v>
      </c>
      <c r="D1030" s="41" t="str">
        <f t="shared" si="16"/>
        <v>01308700</v>
      </c>
    </row>
    <row r="1031" spans="1:4" ht="17">
      <c r="A1031" s="42" t="s">
        <v>2073</v>
      </c>
      <c r="B1031" s="43">
        <v>3829</v>
      </c>
      <c r="C1031" s="43" t="s">
        <v>2074</v>
      </c>
      <c r="D1031" s="41" t="str">
        <f t="shared" si="16"/>
        <v>01309033</v>
      </c>
    </row>
    <row r="1032" spans="1:4" ht="17">
      <c r="A1032" s="42" t="s">
        <v>2075</v>
      </c>
      <c r="B1032" s="43">
        <v>3836</v>
      </c>
      <c r="C1032" s="43" t="s">
        <v>2076</v>
      </c>
      <c r="D1032" s="41" t="str">
        <f t="shared" si="16"/>
        <v>01176851</v>
      </c>
    </row>
    <row r="1033" spans="1:4" ht="17">
      <c r="A1033" s="42" t="s">
        <v>2077</v>
      </c>
      <c r="B1033" s="43">
        <v>3838</v>
      </c>
      <c r="C1033" s="43" t="s">
        <v>2078</v>
      </c>
      <c r="D1033" s="41" t="str">
        <f t="shared" si="16"/>
        <v>01319422</v>
      </c>
    </row>
    <row r="1034" spans="1:4" ht="17">
      <c r="A1034" s="42" t="s">
        <v>2079</v>
      </c>
      <c r="B1034" s="43">
        <v>3839</v>
      </c>
      <c r="C1034" s="43" t="s">
        <v>2080</v>
      </c>
      <c r="D1034" s="41" t="str">
        <f t="shared" si="16"/>
        <v>01319559</v>
      </c>
    </row>
    <row r="1035" spans="1:4" ht="17">
      <c r="A1035" s="42" t="s">
        <v>2081</v>
      </c>
      <c r="B1035" s="43">
        <v>3845</v>
      </c>
      <c r="C1035" s="43" t="s">
        <v>2082</v>
      </c>
      <c r="D1035" s="41" t="str">
        <f t="shared" si="16"/>
        <v>01332464</v>
      </c>
    </row>
    <row r="1036" spans="1:4" ht="17">
      <c r="A1036" s="42" t="s">
        <v>2083</v>
      </c>
      <c r="B1036" s="43">
        <v>3848</v>
      </c>
      <c r="C1036" s="43" t="s">
        <v>1702</v>
      </c>
      <c r="D1036" s="41" t="str">
        <f t="shared" si="16"/>
        <v>01338558</v>
      </c>
    </row>
    <row r="1037" spans="1:4" ht="17">
      <c r="A1037" s="42" t="s">
        <v>2084</v>
      </c>
      <c r="B1037" s="43">
        <v>3853</v>
      </c>
      <c r="C1037" s="43" t="s">
        <v>2085</v>
      </c>
      <c r="D1037" s="41" t="str">
        <f t="shared" si="16"/>
        <v>01341357</v>
      </c>
    </row>
    <row r="1038" spans="1:4" ht="17">
      <c r="A1038" s="42" t="s">
        <v>2086</v>
      </c>
      <c r="B1038" s="43">
        <v>3854</v>
      </c>
      <c r="C1038" s="43" t="s">
        <v>1896</v>
      </c>
      <c r="D1038" s="41" t="str">
        <f t="shared" si="16"/>
        <v>01341881</v>
      </c>
    </row>
    <row r="1039" spans="1:4" ht="17">
      <c r="A1039" s="42" t="s">
        <v>2087</v>
      </c>
      <c r="B1039" s="43">
        <v>3855</v>
      </c>
      <c r="C1039" s="43" t="s">
        <v>2088</v>
      </c>
      <c r="D1039" s="41" t="str">
        <f t="shared" si="16"/>
        <v>01344157</v>
      </c>
    </row>
    <row r="1040" spans="1:4" ht="17">
      <c r="A1040" s="42" t="s">
        <v>2089</v>
      </c>
      <c r="B1040" s="43">
        <v>3857</v>
      </c>
      <c r="C1040" s="43" t="s">
        <v>2090</v>
      </c>
      <c r="D1040" s="41" t="str">
        <f t="shared" si="16"/>
        <v>01354920</v>
      </c>
    </row>
    <row r="1041" spans="1:4" ht="17">
      <c r="A1041" s="42" t="s">
        <v>2091</v>
      </c>
      <c r="B1041" s="43">
        <v>3858</v>
      </c>
      <c r="C1041" s="43" t="s">
        <v>2092</v>
      </c>
      <c r="D1041" s="41" t="str">
        <f t="shared" si="16"/>
        <v>01354919</v>
      </c>
    </row>
    <row r="1042" spans="1:4" ht="17">
      <c r="A1042" s="42" t="s">
        <v>2093</v>
      </c>
      <c r="B1042" s="43">
        <v>3859</v>
      </c>
      <c r="C1042" s="43" t="s">
        <v>2094</v>
      </c>
      <c r="D1042" s="41" t="str">
        <f t="shared" si="16"/>
        <v>01355454</v>
      </c>
    </row>
    <row r="1043" spans="1:4" ht="17">
      <c r="A1043" s="42" t="s">
        <v>2095</v>
      </c>
      <c r="B1043" s="43">
        <v>3869</v>
      </c>
      <c r="C1043" s="43" t="s">
        <v>508</v>
      </c>
      <c r="D1043" s="41" t="str">
        <f t="shared" si="16"/>
        <v>01364373</v>
      </c>
    </row>
    <row r="1044" spans="1:4" ht="17">
      <c r="A1044" s="42" t="s">
        <v>2096</v>
      </c>
      <c r="B1044" s="43">
        <v>3871</v>
      </c>
      <c r="C1044" s="43" t="s">
        <v>2097</v>
      </c>
      <c r="D1044" s="41" t="str">
        <f t="shared" si="16"/>
        <v>01364874</v>
      </c>
    </row>
    <row r="1045" spans="1:4" ht="17">
      <c r="A1045" s="42" t="s">
        <v>2098</v>
      </c>
      <c r="B1045" s="43">
        <v>3875</v>
      </c>
      <c r="C1045" s="43" t="s">
        <v>2099</v>
      </c>
      <c r="D1045" s="41" t="str">
        <f t="shared" si="16"/>
        <v>01368740</v>
      </c>
    </row>
    <row r="1046" spans="1:4" ht="17">
      <c r="A1046" s="42" t="s">
        <v>2100</v>
      </c>
      <c r="B1046" s="43">
        <v>3876</v>
      </c>
      <c r="C1046" s="43" t="s">
        <v>2101</v>
      </c>
      <c r="D1046" s="41" t="str">
        <f t="shared" si="16"/>
        <v>01354969</v>
      </c>
    </row>
    <row r="1047" spans="1:4" ht="17">
      <c r="A1047" s="42" t="s">
        <v>2102</v>
      </c>
      <c r="B1047" s="43">
        <v>3878</v>
      </c>
      <c r="C1047" s="43" t="s">
        <v>2103</v>
      </c>
      <c r="D1047" s="41" t="str">
        <f t="shared" si="16"/>
        <v>01354961</v>
      </c>
    </row>
    <row r="1048" spans="1:4" ht="17">
      <c r="A1048" s="42" t="s">
        <v>2104</v>
      </c>
      <c r="B1048" s="43">
        <v>3880</v>
      </c>
      <c r="C1048" s="43" t="s">
        <v>2105</v>
      </c>
      <c r="D1048" s="41" t="str">
        <f t="shared" si="16"/>
        <v>01354972</v>
      </c>
    </row>
    <row r="1049" spans="1:4" ht="17">
      <c r="A1049" s="42" t="s">
        <v>2106</v>
      </c>
      <c r="B1049" s="43">
        <v>3888</v>
      </c>
      <c r="C1049" s="43" t="s">
        <v>2107</v>
      </c>
      <c r="D1049" s="41" t="str">
        <f t="shared" si="16"/>
        <v>01372835</v>
      </c>
    </row>
    <row r="1050" spans="1:4" ht="17">
      <c r="A1050" s="42" t="s">
        <v>2108</v>
      </c>
      <c r="B1050" s="43">
        <v>3889</v>
      </c>
      <c r="C1050" s="43" t="s">
        <v>2109</v>
      </c>
      <c r="D1050" s="41" t="str">
        <f t="shared" si="16"/>
        <v>01372859</v>
      </c>
    </row>
    <row r="1051" spans="1:4" ht="17">
      <c r="A1051" s="42" t="s">
        <v>2110</v>
      </c>
      <c r="B1051" s="43">
        <v>3893</v>
      </c>
      <c r="C1051" s="43" t="s">
        <v>2111</v>
      </c>
      <c r="D1051" s="41" t="str">
        <f t="shared" si="16"/>
        <v>01372861</v>
      </c>
    </row>
    <row r="1052" spans="1:4" ht="17">
      <c r="A1052" s="42" t="s">
        <v>2112</v>
      </c>
      <c r="B1052" s="43">
        <v>3901</v>
      </c>
      <c r="C1052" s="43" t="s">
        <v>2113</v>
      </c>
      <c r="D1052" s="41" t="str">
        <f t="shared" si="16"/>
        <v>01375991</v>
      </c>
    </row>
    <row r="1053" spans="1:4" ht="17">
      <c r="A1053" s="42" t="s">
        <v>2114</v>
      </c>
      <c r="B1053" s="43">
        <v>3907</v>
      </c>
      <c r="C1053" s="43" t="s">
        <v>2115</v>
      </c>
      <c r="D1053" s="41" t="str">
        <f t="shared" si="16"/>
        <v>01384566</v>
      </c>
    </row>
    <row r="1054" spans="1:4" ht="17">
      <c r="A1054" s="42" t="s">
        <v>2116</v>
      </c>
      <c r="B1054" s="43">
        <v>3909</v>
      </c>
      <c r="C1054" s="43" t="s">
        <v>2117</v>
      </c>
      <c r="D1054" s="41" t="str">
        <f t="shared" si="16"/>
        <v>01385487</v>
      </c>
    </row>
    <row r="1055" spans="1:4" ht="17">
      <c r="A1055" s="42" t="s">
        <v>2118</v>
      </c>
      <c r="B1055" s="43">
        <v>3910</v>
      </c>
      <c r="C1055" s="43" t="s">
        <v>1896</v>
      </c>
      <c r="D1055" s="41" t="str">
        <f t="shared" si="16"/>
        <v>01386224</v>
      </c>
    </row>
    <row r="1056" spans="1:4" ht="17">
      <c r="A1056" s="42" t="s">
        <v>2119</v>
      </c>
      <c r="B1056" s="43">
        <v>3912</v>
      </c>
      <c r="C1056" s="43" t="s">
        <v>2120</v>
      </c>
      <c r="D1056" s="41" t="str">
        <f t="shared" si="16"/>
        <v>01386869</v>
      </c>
    </row>
    <row r="1057" spans="1:4" ht="17">
      <c r="A1057" s="42" t="s">
        <v>2121</v>
      </c>
      <c r="B1057" s="43">
        <v>3915</v>
      </c>
      <c r="C1057" s="43" t="s">
        <v>2122</v>
      </c>
      <c r="D1057" s="41" t="str">
        <f t="shared" si="16"/>
        <v>01390239</v>
      </c>
    </row>
    <row r="1058" spans="1:4" ht="17">
      <c r="A1058" s="42" t="s">
        <v>2123</v>
      </c>
      <c r="B1058" s="43">
        <v>3916</v>
      </c>
      <c r="C1058" s="43" t="s">
        <v>2124</v>
      </c>
      <c r="D1058" s="41" t="str">
        <f t="shared" si="16"/>
        <v>01390240</v>
      </c>
    </row>
    <row r="1059" spans="1:4" ht="17">
      <c r="A1059" s="42" t="s">
        <v>2125</v>
      </c>
      <c r="B1059" s="43">
        <v>3918</v>
      </c>
      <c r="C1059" s="43" t="s">
        <v>2126</v>
      </c>
      <c r="D1059" s="41" t="str">
        <f t="shared" si="16"/>
        <v>01390244</v>
      </c>
    </row>
    <row r="1060" spans="1:4" ht="17">
      <c r="A1060" s="42" t="s">
        <v>2127</v>
      </c>
      <c r="B1060" s="43">
        <v>3921</v>
      </c>
      <c r="C1060" s="43" t="s">
        <v>2128</v>
      </c>
      <c r="D1060" s="41" t="str">
        <f t="shared" si="16"/>
        <v>01390998</v>
      </c>
    </row>
    <row r="1061" spans="1:4" ht="17">
      <c r="A1061" s="42" t="s">
        <v>2129</v>
      </c>
      <c r="B1061" s="43">
        <v>3924</v>
      </c>
      <c r="C1061" s="43" t="s">
        <v>708</v>
      </c>
      <c r="D1061" s="41" t="str">
        <f t="shared" si="16"/>
        <v>01391354</v>
      </c>
    </row>
    <row r="1062" spans="1:4" ht="17">
      <c r="A1062" s="42" t="s">
        <v>2130</v>
      </c>
      <c r="B1062" s="43">
        <v>3925</v>
      </c>
      <c r="C1062" s="43" t="s">
        <v>2131</v>
      </c>
      <c r="D1062" s="41" t="str">
        <f t="shared" si="16"/>
        <v>01391511</v>
      </c>
    </row>
    <row r="1063" spans="1:4" ht="17">
      <c r="A1063" s="42" t="s">
        <v>2132</v>
      </c>
      <c r="B1063" s="43">
        <v>3926</v>
      </c>
      <c r="C1063" s="43" t="s">
        <v>504</v>
      </c>
      <c r="D1063" s="41" t="str">
        <f t="shared" si="16"/>
        <v>01392708</v>
      </c>
    </row>
    <row r="1064" spans="1:4" ht="17">
      <c r="A1064" s="42" t="s">
        <v>2133</v>
      </c>
      <c r="B1064" s="43">
        <v>3928</v>
      </c>
      <c r="C1064" s="43" t="s">
        <v>2134</v>
      </c>
      <c r="D1064" s="41" t="str">
        <f t="shared" si="16"/>
        <v>01393425</v>
      </c>
    </row>
    <row r="1065" spans="1:4" ht="17">
      <c r="A1065" s="42" t="s">
        <v>2135</v>
      </c>
      <c r="B1065" s="43">
        <v>3930</v>
      </c>
      <c r="C1065" s="43" t="s">
        <v>2136</v>
      </c>
      <c r="D1065" s="41" t="str">
        <f t="shared" si="16"/>
        <v>01394645</v>
      </c>
    </row>
    <row r="1066" spans="1:4" ht="17">
      <c r="A1066" s="42" t="s">
        <v>2137</v>
      </c>
      <c r="B1066" s="43">
        <v>3931</v>
      </c>
      <c r="C1066" s="43" t="s">
        <v>2138</v>
      </c>
      <c r="D1066" s="41" t="str">
        <f t="shared" si="16"/>
        <v>01394647</v>
      </c>
    </row>
    <row r="1067" spans="1:4" ht="17">
      <c r="A1067" s="42" t="s">
        <v>2139</v>
      </c>
      <c r="B1067" s="43">
        <v>3933</v>
      </c>
      <c r="C1067" s="43" t="s">
        <v>2140</v>
      </c>
      <c r="D1067" s="41" t="str">
        <f t="shared" si="16"/>
        <v>01394650</v>
      </c>
    </row>
    <row r="1068" spans="1:4" ht="17">
      <c r="A1068" s="42" t="s">
        <v>2141</v>
      </c>
      <c r="B1068" s="43">
        <v>3935</v>
      </c>
      <c r="C1068" s="43" t="s">
        <v>1384</v>
      </c>
      <c r="D1068" s="41" t="str">
        <f t="shared" si="16"/>
        <v>01395198</v>
      </c>
    </row>
    <row r="1069" spans="1:4" ht="17">
      <c r="A1069" s="42" t="s">
        <v>2142</v>
      </c>
      <c r="B1069" s="43">
        <v>3938</v>
      </c>
      <c r="C1069" s="43" t="s">
        <v>2143</v>
      </c>
      <c r="D1069" s="41" t="str">
        <f t="shared" si="16"/>
        <v>01395643</v>
      </c>
    </row>
    <row r="1070" spans="1:4" ht="17">
      <c r="A1070" s="42" t="s">
        <v>2144</v>
      </c>
      <c r="B1070" s="43">
        <v>3943</v>
      </c>
      <c r="C1070" s="43" t="s">
        <v>2145</v>
      </c>
      <c r="D1070" s="41" t="str">
        <f t="shared" si="16"/>
        <v>01396918</v>
      </c>
    </row>
    <row r="1071" spans="1:4" ht="17">
      <c r="A1071" s="42" t="s">
        <v>2146</v>
      </c>
      <c r="B1071" s="43">
        <v>3946</v>
      </c>
      <c r="C1071" s="43" t="s">
        <v>2147</v>
      </c>
      <c r="D1071" s="41" t="str">
        <f t="shared" si="16"/>
        <v>01397425</v>
      </c>
    </row>
    <row r="1072" spans="1:4" ht="17">
      <c r="A1072" s="42" t="s">
        <v>2148</v>
      </c>
      <c r="B1072" s="43">
        <v>3947</v>
      </c>
      <c r="C1072" s="43" t="s">
        <v>2149</v>
      </c>
      <c r="D1072" s="41" t="str">
        <f t="shared" si="16"/>
        <v>01397433</v>
      </c>
    </row>
    <row r="1073" spans="1:4" ht="17">
      <c r="A1073" s="42" t="s">
        <v>2150</v>
      </c>
      <c r="B1073" s="43">
        <v>3951</v>
      </c>
      <c r="C1073" s="43" t="s">
        <v>2151</v>
      </c>
      <c r="D1073" s="41" t="str">
        <f t="shared" si="16"/>
        <v>01397477</v>
      </c>
    </row>
    <row r="1074" spans="1:4" ht="17">
      <c r="A1074" s="42" t="s">
        <v>2152</v>
      </c>
      <c r="B1074" s="43">
        <v>3953</v>
      </c>
      <c r="C1074" s="43" t="s">
        <v>2153</v>
      </c>
      <c r="D1074" s="41" t="str">
        <f t="shared" si="16"/>
        <v>01397991</v>
      </c>
    </row>
    <row r="1075" spans="1:4" ht="17">
      <c r="A1075" s="42" t="s">
        <v>2154</v>
      </c>
      <c r="B1075" s="43">
        <v>3954</v>
      </c>
      <c r="C1075" s="43" t="s">
        <v>2155</v>
      </c>
      <c r="D1075" s="41" t="str">
        <f t="shared" si="16"/>
        <v>01398117</v>
      </c>
    </row>
    <row r="1076" spans="1:4" ht="17">
      <c r="A1076" s="42" t="s">
        <v>2156</v>
      </c>
      <c r="B1076" s="43">
        <v>3959</v>
      </c>
      <c r="C1076" s="43" t="s">
        <v>2157</v>
      </c>
      <c r="D1076" s="41" t="str">
        <f t="shared" si="16"/>
        <v>01402872</v>
      </c>
    </row>
    <row r="1077" spans="1:4" ht="17">
      <c r="A1077" s="42" t="s">
        <v>2158</v>
      </c>
      <c r="B1077" s="43">
        <v>3961</v>
      </c>
      <c r="C1077" s="43" t="s">
        <v>2159</v>
      </c>
      <c r="D1077" s="41" t="str">
        <f t="shared" si="16"/>
        <v>01403758</v>
      </c>
    </row>
    <row r="1078" spans="1:4" ht="17">
      <c r="A1078" s="42" t="s">
        <v>2160</v>
      </c>
      <c r="B1078" s="43">
        <v>3964</v>
      </c>
      <c r="C1078" s="43" t="s">
        <v>2161</v>
      </c>
      <c r="D1078" s="41" t="str">
        <f t="shared" si="16"/>
        <v>01405004</v>
      </c>
    </row>
    <row r="1079" spans="1:4" ht="17">
      <c r="A1079" s="42" t="s">
        <v>2162</v>
      </c>
      <c r="B1079" s="43">
        <v>3965</v>
      </c>
      <c r="C1079" s="43" t="s">
        <v>2163</v>
      </c>
      <c r="D1079" s="41" t="str">
        <f t="shared" si="16"/>
        <v>01409270</v>
      </c>
    </row>
    <row r="1080" spans="1:4" ht="17">
      <c r="A1080" s="42" t="s">
        <v>2164</v>
      </c>
      <c r="B1080" s="43">
        <v>3967</v>
      </c>
      <c r="C1080" s="43" t="s">
        <v>2165</v>
      </c>
      <c r="D1080" s="41" t="str">
        <f t="shared" si="16"/>
        <v>01415780</v>
      </c>
    </row>
    <row r="1081" spans="1:4" ht="17">
      <c r="A1081" s="42" t="s">
        <v>2166</v>
      </c>
      <c r="B1081" s="43">
        <v>3968</v>
      </c>
      <c r="C1081" s="43" t="s">
        <v>2167</v>
      </c>
      <c r="D1081" s="41" t="str">
        <f t="shared" si="16"/>
        <v>01415783</v>
      </c>
    </row>
    <row r="1082" spans="1:4" ht="17">
      <c r="A1082" s="42" t="s">
        <v>2168</v>
      </c>
      <c r="B1082" s="43">
        <v>3969</v>
      </c>
      <c r="C1082" s="43" t="s">
        <v>2169</v>
      </c>
      <c r="D1082" s="41" t="str">
        <f t="shared" si="16"/>
        <v>CG002018</v>
      </c>
    </row>
    <row r="1083" spans="1:4" ht="17">
      <c r="A1083" s="42" t="s">
        <v>2170</v>
      </c>
      <c r="B1083" s="43">
        <v>3970</v>
      </c>
      <c r="C1083" s="43" t="s">
        <v>2171</v>
      </c>
      <c r="D1083" s="41" t="str">
        <f t="shared" si="16"/>
        <v>01417703</v>
      </c>
    </row>
    <row r="1084" spans="1:4" ht="17">
      <c r="A1084" s="42" t="s">
        <v>2172</v>
      </c>
      <c r="B1084" s="43">
        <v>3971</v>
      </c>
      <c r="C1084" s="43" t="s">
        <v>2173</v>
      </c>
      <c r="D1084" s="41" t="str">
        <f t="shared" si="16"/>
        <v>01418088</v>
      </c>
    </row>
    <row r="1085" spans="1:4" ht="17">
      <c r="A1085" s="42" t="s">
        <v>2174</v>
      </c>
      <c r="B1085" s="43">
        <v>3972</v>
      </c>
      <c r="C1085" s="43" t="s">
        <v>2175</v>
      </c>
      <c r="D1085" s="41" t="str">
        <f t="shared" si="16"/>
        <v>01420689</v>
      </c>
    </row>
    <row r="1086" spans="1:4" ht="17">
      <c r="A1086" s="42" t="s">
        <v>2176</v>
      </c>
      <c r="B1086" s="43">
        <v>3973</v>
      </c>
      <c r="C1086" s="43" t="s">
        <v>2177</v>
      </c>
      <c r="D1086" s="41" t="str">
        <f t="shared" si="16"/>
        <v>CG000720</v>
      </c>
    </row>
    <row r="1087" spans="1:4" ht="17">
      <c r="A1087" s="42" t="s">
        <v>2178</v>
      </c>
      <c r="B1087" s="43">
        <v>3976</v>
      </c>
      <c r="C1087" s="43" t="s">
        <v>2179</v>
      </c>
      <c r="D1087" s="41" t="str">
        <f t="shared" si="16"/>
        <v>01424350</v>
      </c>
    </row>
    <row r="1088" spans="1:4" ht="17">
      <c r="A1088" s="42" t="s">
        <v>2180</v>
      </c>
      <c r="B1088" s="43">
        <v>4000</v>
      </c>
      <c r="C1088" s="43" t="s">
        <v>2181</v>
      </c>
      <c r="D1088" s="41" t="str">
        <f t="shared" si="16"/>
        <v>01425025</v>
      </c>
    </row>
    <row r="1089" spans="1:4" ht="17">
      <c r="A1089" s="42" t="s">
        <v>2182</v>
      </c>
      <c r="B1089" s="43">
        <v>4002</v>
      </c>
      <c r="C1089" s="43" t="s">
        <v>56</v>
      </c>
      <c r="D1089" s="41" t="str">
        <f t="shared" si="16"/>
        <v>01191925</v>
      </c>
    </row>
    <row r="1090" spans="1:4" ht="17">
      <c r="A1090" s="42" t="s">
        <v>2183</v>
      </c>
      <c r="B1090" s="43">
        <v>4003</v>
      </c>
      <c r="C1090" s="43" t="s">
        <v>2184</v>
      </c>
      <c r="D1090" s="41" t="str">
        <f t="shared" si="16"/>
        <v>01191927</v>
      </c>
    </row>
    <row r="1091" spans="1:4" ht="17">
      <c r="A1091" s="42" t="s">
        <v>2185</v>
      </c>
      <c r="B1091" s="43">
        <v>4004</v>
      </c>
      <c r="C1091" s="43" t="s">
        <v>2186</v>
      </c>
      <c r="D1091" s="41" t="str">
        <f t="shared" ref="D1091:D1154" si="17">TEXT(A1091,"00000000")</f>
        <v>01191928</v>
      </c>
    </row>
    <row r="1092" spans="1:4" ht="17">
      <c r="A1092" s="42" t="s">
        <v>2187</v>
      </c>
      <c r="B1092" s="43">
        <v>4007</v>
      </c>
      <c r="C1092" s="43" t="s">
        <v>2188</v>
      </c>
      <c r="D1092" s="41" t="str">
        <f t="shared" si="17"/>
        <v>01222870</v>
      </c>
    </row>
    <row r="1093" spans="1:4" ht="17">
      <c r="A1093" s="42" t="s">
        <v>2189</v>
      </c>
      <c r="B1093" s="43">
        <v>4008</v>
      </c>
      <c r="C1093" s="43" t="s">
        <v>2190</v>
      </c>
      <c r="D1093" s="41" t="str">
        <f t="shared" si="17"/>
        <v>01380216</v>
      </c>
    </row>
    <row r="1094" spans="1:4" ht="17">
      <c r="A1094" s="42" t="s">
        <v>2191</v>
      </c>
      <c r="B1094" s="43">
        <v>4012</v>
      </c>
      <c r="C1094" s="43" t="s">
        <v>2192</v>
      </c>
      <c r="D1094" s="41" t="str">
        <f t="shared" si="17"/>
        <v>01431886</v>
      </c>
    </row>
    <row r="1095" spans="1:4" ht="17">
      <c r="A1095" s="42" t="s">
        <v>2193</v>
      </c>
      <c r="B1095" s="43">
        <v>4013</v>
      </c>
      <c r="C1095" s="43" t="s">
        <v>2194</v>
      </c>
      <c r="D1095" s="41" t="str">
        <f t="shared" si="17"/>
        <v>01431887</v>
      </c>
    </row>
    <row r="1096" spans="1:4" ht="17">
      <c r="A1096" s="42" t="s">
        <v>2195</v>
      </c>
      <c r="B1096" s="43">
        <v>4014</v>
      </c>
      <c r="C1096" s="43" t="s">
        <v>1179</v>
      </c>
      <c r="D1096" s="41" t="str">
        <f t="shared" si="17"/>
        <v>01432650</v>
      </c>
    </row>
    <row r="1097" spans="1:4" ht="17">
      <c r="A1097" s="42" t="s">
        <v>2196</v>
      </c>
      <c r="B1097" s="43">
        <v>4017</v>
      </c>
      <c r="C1097" s="43" t="s">
        <v>2197</v>
      </c>
      <c r="D1097" s="41" t="str">
        <f t="shared" si="17"/>
        <v>01436269</v>
      </c>
    </row>
    <row r="1098" spans="1:4" ht="17">
      <c r="A1098" s="42" t="s">
        <v>2198</v>
      </c>
      <c r="B1098" s="43">
        <v>4025</v>
      </c>
      <c r="C1098" s="43" t="s">
        <v>2199</v>
      </c>
      <c r="D1098" s="41" t="str">
        <f t="shared" si="17"/>
        <v>01437479</v>
      </c>
    </row>
    <row r="1099" spans="1:4" ht="17">
      <c r="A1099" s="42" t="s">
        <v>2200</v>
      </c>
      <c r="B1099" s="43">
        <v>4028</v>
      </c>
      <c r="C1099" s="43" t="s">
        <v>2201</v>
      </c>
      <c r="D1099" s="41" t="str">
        <f t="shared" si="17"/>
        <v>01438032</v>
      </c>
    </row>
    <row r="1100" spans="1:4" ht="17">
      <c r="A1100" s="42" t="s">
        <v>2202</v>
      </c>
      <c r="B1100" s="43">
        <v>4032</v>
      </c>
      <c r="C1100" s="43" t="s">
        <v>2203</v>
      </c>
      <c r="D1100" s="41" t="str">
        <f t="shared" si="17"/>
        <v>CG002539</v>
      </c>
    </row>
    <row r="1101" spans="1:4" ht="17">
      <c r="A1101" s="42" t="s">
        <v>2204</v>
      </c>
      <c r="B1101" s="43">
        <v>4033</v>
      </c>
      <c r="C1101" s="43" t="s">
        <v>2205</v>
      </c>
      <c r="D1101" s="41" t="str">
        <f t="shared" si="17"/>
        <v>01441910</v>
      </c>
    </row>
    <row r="1102" spans="1:4" ht="17">
      <c r="A1102" s="42" t="s">
        <v>2206</v>
      </c>
      <c r="B1102" s="43">
        <v>4035</v>
      </c>
      <c r="C1102" s="43" t="s">
        <v>2627</v>
      </c>
      <c r="D1102" s="41" t="str">
        <f t="shared" si="17"/>
        <v>01441912</v>
      </c>
    </row>
    <row r="1103" spans="1:4" ht="17">
      <c r="A1103" s="42" t="s">
        <v>2207</v>
      </c>
      <c r="B1103" s="43">
        <v>4037</v>
      </c>
      <c r="C1103" s="43" t="s">
        <v>2208</v>
      </c>
      <c r="D1103" s="41" t="str">
        <f t="shared" si="17"/>
        <v>01446776</v>
      </c>
    </row>
    <row r="1104" spans="1:4" ht="17">
      <c r="A1104" s="42" t="s">
        <v>2209</v>
      </c>
      <c r="B1104" s="43">
        <v>4039</v>
      </c>
      <c r="C1104" s="43" t="s">
        <v>2210</v>
      </c>
      <c r="D1104" s="41" t="str">
        <f t="shared" si="17"/>
        <v>01454785</v>
      </c>
    </row>
    <row r="1105" spans="1:4" ht="17">
      <c r="A1105" s="42" t="s">
        <v>2211</v>
      </c>
      <c r="B1105" s="43">
        <v>4040</v>
      </c>
      <c r="C1105" s="43" t="s">
        <v>2212</v>
      </c>
      <c r="D1105" s="41" t="str">
        <f t="shared" si="17"/>
        <v>01454786</v>
      </c>
    </row>
    <row r="1106" spans="1:4" ht="17">
      <c r="A1106" s="42" t="s">
        <v>2213</v>
      </c>
      <c r="B1106" s="43">
        <v>4042</v>
      </c>
      <c r="C1106" s="43" t="s">
        <v>2214</v>
      </c>
      <c r="D1106" s="41" t="str">
        <f t="shared" si="17"/>
        <v>01460697</v>
      </c>
    </row>
    <row r="1107" spans="1:4" ht="17">
      <c r="A1107" s="42" t="s">
        <v>2215</v>
      </c>
      <c r="B1107" s="43">
        <v>4044</v>
      </c>
      <c r="C1107" s="43" t="s">
        <v>2216</v>
      </c>
      <c r="D1107" s="41" t="str">
        <f t="shared" si="17"/>
        <v>01460702</v>
      </c>
    </row>
    <row r="1108" spans="1:4" ht="17">
      <c r="A1108" s="42" t="s">
        <v>2217</v>
      </c>
      <c r="B1108" s="43">
        <v>4045</v>
      </c>
      <c r="C1108" s="43" t="s">
        <v>2218</v>
      </c>
      <c r="D1108" s="41" t="str">
        <f t="shared" si="17"/>
        <v>01460707</v>
      </c>
    </row>
    <row r="1109" spans="1:4" ht="17">
      <c r="A1109" s="42" t="s">
        <v>2219</v>
      </c>
      <c r="B1109" s="43">
        <v>4047</v>
      </c>
      <c r="C1109" s="43" t="s">
        <v>959</v>
      </c>
      <c r="D1109" s="41" t="str">
        <f t="shared" si="17"/>
        <v>01461306</v>
      </c>
    </row>
    <row r="1110" spans="1:4" ht="17">
      <c r="A1110" s="42" t="s">
        <v>2220</v>
      </c>
      <c r="B1110" s="43">
        <v>4049</v>
      </c>
      <c r="C1110" s="43" t="s">
        <v>2221</v>
      </c>
      <c r="D1110" s="41" t="str">
        <f t="shared" si="17"/>
        <v>01461308</v>
      </c>
    </row>
    <row r="1111" spans="1:4" ht="17">
      <c r="A1111" s="42" t="s">
        <v>2222</v>
      </c>
      <c r="B1111" s="43">
        <v>4051</v>
      </c>
      <c r="C1111" s="43" t="s">
        <v>2223</v>
      </c>
      <c r="D1111" s="41" t="str">
        <f t="shared" si="17"/>
        <v>01461313</v>
      </c>
    </row>
    <row r="1112" spans="1:4" ht="17">
      <c r="A1112" s="42" t="s">
        <v>2224</v>
      </c>
      <c r="B1112" s="43">
        <v>4053</v>
      </c>
      <c r="C1112" s="43" t="s">
        <v>2225</v>
      </c>
      <c r="D1112" s="41" t="str">
        <f t="shared" si="17"/>
        <v>01462668</v>
      </c>
    </row>
    <row r="1113" spans="1:4" ht="17">
      <c r="A1113" s="42" t="s">
        <v>2226</v>
      </c>
      <c r="B1113" s="43">
        <v>4054</v>
      </c>
      <c r="C1113" s="43" t="s">
        <v>2227</v>
      </c>
      <c r="D1113" s="41" t="str">
        <f t="shared" si="17"/>
        <v>01463959</v>
      </c>
    </row>
    <row r="1114" spans="1:4" ht="17">
      <c r="A1114" s="42" t="s">
        <v>2228</v>
      </c>
      <c r="B1114" s="43">
        <v>4057</v>
      </c>
      <c r="C1114" s="43" t="s">
        <v>1633</v>
      </c>
      <c r="D1114" s="41" t="str">
        <f t="shared" si="17"/>
        <v>01469254</v>
      </c>
    </row>
    <row r="1115" spans="1:4" ht="17">
      <c r="A1115" s="42" t="s">
        <v>2229</v>
      </c>
      <c r="B1115" s="43">
        <v>4059</v>
      </c>
      <c r="C1115" s="43" t="s">
        <v>2230</v>
      </c>
      <c r="D1115" s="41" t="str">
        <f t="shared" si="17"/>
        <v>01469300</v>
      </c>
    </row>
    <row r="1116" spans="1:4" ht="17">
      <c r="A1116" s="42" t="s">
        <v>2231</v>
      </c>
      <c r="B1116" s="43">
        <v>4061</v>
      </c>
      <c r="C1116" s="43" t="s">
        <v>1460</v>
      </c>
      <c r="D1116" s="41" t="str">
        <f t="shared" si="17"/>
        <v>01512229</v>
      </c>
    </row>
    <row r="1117" spans="1:4" ht="17">
      <c r="A1117" s="42" t="s">
        <v>2232</v>
      </c>
      <c r="B1117" s="43">
        <v>4068</v>
      </c>
      <c r="C1117" s="43" t="s">
        <v>2233</v>
      </c>
      <c r="D1117" s="41" t="str">
        <f t="shared" si="17"/>
        <v>01562849</v>
      </c>
    </row>
    <row r="1118" spans="1:4" ht="17">
      <c r="A1118" s="42" t="s">
        <v>2234</v>
      </c>
      <c r="B1118" s="43">
        <v>4074</v>
      </c>
      <c r="C1118" s="43" t="s">
        <v>2235</v>
      </c>
      <c r="D1118" s="41" t="str">
        <f t="shared" si="17"/>
        <v>01573126</v>
      </c>
    </row>
    <row r="1119" spans="1:4" ht="17">
      <c r="A1119" s="42" t="s">
        <v>2236</v>
      </c>
      <c r="B1119" s="43">
        <v>4077</v>
      </c>
      <c r="C1119" s="43" t="s">
        <v>2237</v>
      </c>
      <c r="D1119" s="41" t="str">
        <f t="shared" si="17"/>
        <v>01577818</v>
      </c>
    </row>
    <row r="1120" spans="1:4" ht="17">
      <c r="A1120" s="42" t="s">
        <v>2238</v>
      </c>
      <c r="B1120" s="43">
        <v>4078</v>
      </c>
      <c r="C1120" s="43" t="s">
        <v>2239</v>
      </c>
      <c r="D1120" s="41" t="str">
        <f t="shared" si="17"/>
        <v>01579088</v>
      </c>
    </row>
    <row r="1121" spans="1:4" ht="17">
      <c r="A1121" s="42" t="s">
        <v>2240</v>
      </c>
      <c r="B1121" s="43">
        <v>4082</v>
      </c>
      <c r="C1121" s="43" t="s">
        <v>2241</v>
      </c>
      <c r="D1121" s="41" t="str">
        <f t="shared" si="17"/>
        <v>01580592</v>
      </c>
    </row>
    <row r="1122" spans="1:4" ht="17">
      <c r="A1122" s="42" t="s">
        <v>2242</v>
      </c>
      <c r="B1122" s="43">
        <v>4083</v>
      </c>
      <c r="C1122" s="43" t="s">
        <v>2243</v>
      </c>
      <c r="D1122" s="41" t="str">
        <f t="shared" si="17"/>
        <v>01585484</v>
      </c>
    </row>
    <row r="1123" spans="1:4" ht="17">
      <c r="A1123" s="42" t="s">
        <v>2244</v>
      </c>
      <c r="B1123" s="43">
        <v>4092</v>
      </c>
      <c r="C1123" s="43" t="s">
        <v>2245</v>
      </c>
      <c r="D1123" s="41" t="str">
        <f t="shared" si="17"/>
        <v>01596366</v>
      </c>
    </row>
    <row r="1124" spans="1:4" ht="17">
      <c r="A1124" s="42" t="s">
        <v>2246</v>
      </c>
      <c r="B1124" s="43">
        <v>4094</v>
      </c>
      <c r="C1124" s="43" t="s">
        <v>2247</v>
      </c>
      <c r="D1124" s="41" t="str">
        <f t="shared" si="17"/>
        <v>01597212</v>
      </c>
    </row>
    <row r="1125" spans="1:4" ht="17">
      <c r="A1125" s="42" t="s">
        <v>2248</v>
      </c>
      <c r="B1125" s="43">
        <v>4101</v>
      </c>
      <c r="C1125" s="43" t="s">
        <v>2249</v>
      </c>
      <c r="D1125" s="41" t="str">
        <f t="shared" si="17"/>
        <v>01609261</v>
      </c>
    </row>
    <row r="1126" spans="1:4" ht="17">
      <c r="A1126" s="42" t="s">
        <v>2250</v>
      </c>
      <c r="B1126" s="43">
        <v>4102</v>
      </c>
      <c r="C1126" s="43" t="s">
        <v>2251</v>
      </c>
      <c r="D1126" s="41" t="str">
        <f t="shared" si="17"/>
        <v>01609276</v>
      </c>
    </row>
    <row r="1127" spans="1:4" ht="17">
      <c r="A1127" s="42" t="s">
        <v>2252</v>
      </c>
      <c r="B1127" s="43">
        <v>4106</v>
      </c>
      <c r="C1127" s="43" t="s">
        <v>2253</v>
      </c>
      <c r="D1127" s="41" t="str">
        <f t="shared" si="17"/>
        <v>01613838</v>
      </c>
    </row>
    <row r="1128" spans="1:4" ht="17">
      <c r="A1128" s="42" t="s">
        <v>2254</v>
      </c>
      <c r="B1128" s="43">
        <v>4107</v>
      </c>
      <c r="C1128" s="43" t="s">
        <v>2255</v>
      </c>
      <c r="D1128" s="41" t="str">
        <f t="shared" si="17"/>
        <v>01614067</v>
      </c>
    </row>
    <row r="1129" spans="1:4" ht="17">
      <c r="A1129" s="42" t="s">
        <v>2256</v>
      </c>
      <c r="B1129" s="43">
        <v>4111</v>
      </c>
      <c r="C1129" s="43" t="s">
        <v>2257</v>
      </c>
      <c r="D1129" s="41" t="str">
        <f t="shared" si="17"/>
        <v>01615141</v>
      </c>
    </row>
    <row r="1130" spans="1:4" ht="17">
      <c r="A1130" s="42" t="s">
        <v>2258</v>
      </c>
      <c r="B1130" s="43">
        <v>4114</v>
      </c>
      <c r="C1130" s="43" t="s">
        <v>2259</v>
      </c>
      <c r="D1130" s="41" t="str">
        <f t="shared" si="17"/>
        <v>01632327</v>
      </c>
    </row>
    <row r="1131" spans="1:4" ht="17">
      <c r="A1131" s="42" t="s">
        <v>2260</v>
      </c>
      <c r="B1131" s="43">
        <v>4115</v>
      </c>
      <c r="C1131" s="43" t="s">
        <v>2261</v>
      </c>
      <c r="D1131" s="41" t="str">
        <f t="shared" si="17"/>
        <v>01635123</v>
      </c>
    </row>
    <row r="1132" spans="1:4" ht="17">
      <c r="A1132" s="42" t="s">
        <v>2262</v>
      </c>
      <c r="B1132" s="43">
        <v>4118</v>
      </c>
      <c r="C1132" s="43" t="s">
        <v>2263</v>
      </c>
      <c r="D1132" s="41" t="str">
        <f t="shared" si="17"/>
        <v>01636516</v>
      </c>
    </row>
    <row r="1133" spans="1:4" ht="17">
      <c r="A1133" s="42" t="s">
        <v>2264</v>
      </c>
      <c r="B1133" s="43">
        <v>4121</v>
      </c>
      <c r="C1133" s="43" t="s">
        <v>2265</v>
      </c>
      <c r="D1133" s="41" t="str">
        <f t="shared" si="17"/>
        <v>01648542</v>
      </c>
    </row>
    <row r="1134" spans="1:4" ht="17">
      <c r="A1134" s="42" t="s">
        <v>2266</v>
      </c>
      <c r="B1134" s="43">
        <v>4124</v>
      </c>
      <c r="C1134" s="43" t="s">
        <v>2267</v>
      </c>
      <c r="D1134" s="41" t="str">
        <f t="shared" si="17"/>
        <v>01651494</v>
      </c>
    </row>
    <row r="1135" spans="1:4" ht="17">
      <c r="A1135" s="42" t="s">
        <v>2268</v>
      </c>
      <c r="B1135" s="43">
        <v>4126</v>
      </c>
      <c r="C1135" s="43" t="s">
        <v>2269</v>
      </c>
      <c r="D1135" s="41" t="str">
        <f t="shared" si="17"/>
        <v>01656641</v>
      </c>
    </row>
    <row r="1136" spans="1:4" ht="17">
      <c r="A1136" s="42" t="s">
        <v>2270</v>
      </c>
      <c r="B1136" s="43">
        <v>4128</v>
      </c>
      <c r="C1136" s="43" t="s">
        <v>2271</v>
      </c>
      <c r="D1136" s="41" t="str">
        <f t="shared" si="17"/>
        <v>01658875</v>
      </c>
    </row>
    <row r="1137" spans="1:4" ht="17">
      <c r="A1137" s="42" t="s">
        <v>2272</v>
      </c>
      <c r="B1137" s="43">
        <v>4133</v>
      </c>
      <c r="C1137" s="43" t="s">
        <v>2273</v>
      </c>
      <c r="D1137" s="41" t="str">
        <f t="shared" si="17"/>
        <v>01667333</v>
      </c>
    </row>
    <row r="1138" spans="1:4" ht="17">
      <c r="A1138" s="42" t="s">
        <v>2274</v>
      </c>
      <c r="B1138" s="43">
        <v>4136</v>
      </c>
      <c r="C1138" s="43" t="s">
        <v>2275</v>
      </c>
      <c r="D1138" s="41" t="str">
        <f t="shared" si="17"/>
        <v>01668614</v>
      </c>
    </row>
    <row r="1139" spans="1:4" ht="17">
      <c r="A1139" s="42" t="s">
        <v>2276</v>
      </c>
      <c r="B1139" s="43">
        <v>4144</v>
      </c>
      <c r="C1139" s="43" t="s">
        <v>2277</v>
      </c>
      <c r="D1139" s="41" t="str">
        <f t="shared" si="17"/>
        <v>01672492</v>
      </c>
    </row>
    <row r="1140" spans="1:4" ht="17">
      <c r="A1140" s="42" t="s">
        <v>2278</v>
      </c>
      <c r="B1140" s="43">
        <v>4146</v>
      </c>
      <c r="C1140" s="43" t="s">
        <v>2279</v>
      </c>
      <c r="D1140" s="41" t="str">
        <f t="shared" si="17"/>
        <v>01673056</v>
      </c>
    </row>
    <row r="1141" spans="1:4" ht="17">
      <c r="A1141" s="42" t="s">
        <v>2280</v>
      </c>
      <c r="B1141" s="43">
        <v>4147</v>
      </c>
      <c r="C1141" s="43" t="s">
        <v>2281</v>
      </c>
      <c r="D1141" s="41" t="str">
        <f t="shared" si="17"/>
        <v>01673058</v>
      </c>
    </row>
    <row r="1142" spans="1:4" ht="17">
      <c r="A1142" s="42" t="s">
        <v>2282</v>
      </c>
      <c r="B1142" s="43">
        <v>4149</v>
      </c>
      <c r="C1142" s="43" t="s">
        <v>2283</v>
      </c>
      <c r="D1142" s="41" t="str">
        <f t="shared" si="17"/>
        <v>01673061</v>
      </c>
    </row>
    <row r="1143" spans="1:4" ht="17">
      <c r="A1143" s="42" t="s">
        <v>2284</v>
      </c>
      <c r="B1143" s="43">
        <v>4150</v>
      </c>
      <c r="C1143" s="43" t="s">
        <v>2285</v>
      </c>
      <c r="D1143" s="41" t="str">
        <f t="shared" si="17"/>
        <v>01673065</v>
      </c>
    </row>
    <row r="1144" spans="1:4" ht="17">
      <c r="A1144" s="42" t="s">
        <v>2286</v>
      </c>
      <c r="B1144" s="43">
        <v>4151</v>
      </c>
      <c r="C1144" s="43" t="s">
        <v>2287</v>
      </c>
      <c r="D1144" s="41" t="str">
        <f t="shared" si="17"/>
        <v>01669815</v>
      </c>
    </row>
    <row r="1145" spans="1:4" ht="17">
      <c r="A1145" s="42" t="s">
        <v>2288</v>
      </c>
      <c r="B1145" s="43">
        <v>4152</v>
      </c>
      <c r="C1145" s="43" t="s">
        <v>2289</v>
      </c>
      <c r="D1145" s="41" t="str">
        <f t="shared" si="17"/>
        <v>01675799</v>
      </c>
    </row>
    <row r="1146" spans="1:4" ht="17">
      <c r="A1146" s="42" t="s">
        <v>2290</v>
      </c>
      <c r="B1146" s="43">
        <v>4154</v>
      </c>
      <c r="C1146" s="43" t="s">
        <v>2291</v>
      </c>
      <c r="D1146" s="41" t="str">
        <f t="shared" si="17"/>
        <v>01678959</v>
      </c>
    </row>
    <row r="1147" spans="1:4" ht="17">
      <c r="A1147" s="42" t="s">
        <v>2292</v>
      </c>
      <c r="B1147" s="43">
        <v>4156</v>
      </c>
      <c r="C1147" s="43" t="s">
        <v>2293</v>
      </c>
      <c r="D1147" s="41" t="str">
        <f t="shared" si="17"/>
        <v>01681612</v>
      </c>
    </row>
    <row r="1148" spans="1:4" ht="17">
      <c r="A1148" s="42" t="s">
        <v>2294</v>
      </c>
      <c r="B1148" s="43">
        <v>4161</v>
      </c>
      <c r="C1148" s="43" t="s">
        <v>2295</v>
      </c>
      <c r="D1148" s="41" t="str">
        <f t="shared" si="17"/>
        <v>01681626</v>
      </c>
    </row>
    <row r="1149" spans="1:4" ht="17">
      <c r="A1149" s="42" t="s">
        <v>2296</v>
      </c>
      <c r="B1149" s="43">
        <v>4165</v>
      </c>
      <c r="C1149" s="43" t="s">
        <v>2297</v>
      </c>
      <c r="D1149" s="41" t="str">
        <f t="shared" si="17"/>
        <v>01681640</v>
      </c>
    </row>
    <row r="1150" spans="1:4" ht="17">
      <c r="A1150" s="42" t="s">
        <v>2298</v>
      </c>
      <c r="B1150" s="43">
        <v>4171</v>
      </c>
      <c r="C1150" s="43" t="s">
        <v>2299</v>
      </c>
      <c r="D1150" s="41" t="str">
        <f t="shared" si="17"/>
        <v>01681651</v>
      </c>
    </row>
    <row r="1151" spans="1:4" ht="17">
      <c r="A1151" s="42" t="s">
        <v>2300</v>
      </c>
      <c r="B1151" s="43">
        <v>4173</v>
      </c>
      <c r="C1151" s="43" t="s">
        <v>2301</v>
      </c>
      <c r="D1151" s="41" t="str">
        <f t="shared" si="17"/>
        <v>01684668</v>
      </c>
    </row>
    <row r="1152" spans="1:4" ht="17">
      <c r="A1152" s="42" t="s">
        <v>2302</v>
      </c>
      <c r="B1152" s="43">
        <v>4175</v>
      </c>
      <c r="C1152" s="43" t="s">
        <v>2303</v>
      </c>
      <c r="D1152" s="41" t="str">
        <f t="shared" si="17"/>
        <v>01687004</v>
      </c>
    </row>
    <row r="1153" spans="1:4" ht="17">
      <c r="A1153" s="42" t="s">
        <v>2304</v>
      </c>
      <c r="B1153" s="43">
        <v>4176</v>
      </c>
      <c r="C1153" s="43" t="s">
        <v>2305</v>
      </c>
      <c r="D1153" s="41" t="str">
        <f t="shared" si="17"/>
        <v>01686959</v>
      </c>
    </row>
    <row r="1154" spans="1:4" ht="17">
      <c r="A1154" s="42" t="s">
        <v>2306</v>
      </c>
      <c r="B1154" s="43">
        <v>4177</v>
      </c>
      <c r="C1154" s="43" t="s">
        <v>2307</v>
      </c>
      <c r="D1154" s="41" t="str">
        <f t="shared" si="17"/>
        <v>01687674</v>
      </c>
    </row>
    <row r="1155" spans="1:4" ht="17">
      <c r="A1155" s="42" t="s">
        <v>2308</v>
      </c>
      <c r="B1155" s="43">
        <v>4179</v>
      </c>
      <c r="C1155" s="43" t="s">
        <v>2309</v>
      </c>
      <c r="D1155" s="41" t="str">
        <f t="shared" ref="D1155:D1218" si="18">TEXT(A1155,"00000000")</f>
        <v>01693537</v>
      </c>
    </row>
    <row r="1156" spans="1:4" ht="17">
      <c r="A1156" s="42" t="s">
        <v>2310</v>
      </c>
      <c r="B1156" s="43">
        <v>4180</v>
      </c>
      <c r="C1156" s="43" t="s">
        <v>2311</v>
      </c>
      <c r="D1156" s="41" t="str">
        <f t="shared" si="18"/>
        <v>01694648</v>
      </c>
    </row>
    <row r="1157" spans="1:4" ht="17">
      <c r="A1157" s="42" t="s">
        <v>2312</v>
      </c>
      <c r="B1157" s="43">
        <v>4182</v>
      </c>
      <c r="C1157" s="43" t="s">
        <v>2313</v>
      </c>
      <c r="D1157" s="41" t="str">
        <f t="shared" si="18"/>
        <v>01694903</v>
      </c>
    </row>
    <row r="1158" spans="1:4" ht="17">
      <c r="A1158" s="42" t="s">
        <v>2314</v>
      </c>
      <c r="B1158" s="43">
        <v>4185</v>
      </c>
      <c r="C1158" s="43" t="s">
        <v>2315</v>
      </c>
      <c r="D1158" s="41" t="str">
        <f t="shared" si="18"/>
        <v>01696134</v>
      </c>
    </row>
    <row r="1159" spans="1:4" ht="17">
      <c r="A1159" s="42" t="s">
        <v>2316</v>
      </c>
      <c r="B1159" s="43">
        <v>4186</v>
      </c>
      <c r="C1159" s="43" t="s">
        <v>2317</v>
      </c>
      <c r="D1159" s="41" t="str">
        <f t="shared" si="18"/>
        <v>01696187</v>
      </c>
    </row>
    <row r="1160" spans="1:4" ht="17">
      <c r="A1160" s="42" t="s">
        <v>2318</v>
      </c>
      <c r="B1160" s="43">
        <v>4190</v>
      </c>
      <c r="C1160" s="43" t="s">
        <v>2319</v>
      </c>
      <c r="D1160" s="41" t="str">
        <f t="shared" si="18"/>
        <v>01696696</v>
      </c>
    </row>
    <row r="1161" spans="1:4" ht="17">
      <c r="A1161" s="42" t="s">
        <v>2320</v>
      </c>
      <c r="B1161" s="43">
        <v>4192</v>
      </c>
      <c r="C1161" s="43" t="s">
        <v>2321</v>
      </c>
      <c r="D1161" s="41" t="str">
        <f t="shared" si="18"/>
        <v>01697946</v>
      </c>
    </row>
    <row r="1162" spans="1:4" ht="17">
      <c r="A1162" s="42" t="s">
        <v>2322</v>
      </c>
      <c r="B1162" s="43">
        <v>4193</v>
      </c>
      <c r="C1162" s="43" t="s">
        <v>2323</v>
      </c>
      <c r="D1162" s="41" t="str">
        <f t="shared" si="18"/>
        <v>01697948</v>
      </c>
    </row>
    <row r="1163" spans="1:4" ht="17">
      <c r="A1163" s="42" t="s">
        <v>2324</v>
      </c>
      <c r="B1163" s="43">
        <v>4194</v>
      </c>
      <c r="C1163" s="43" t="s">
        <v>2325</v>
      </c>
      <c r="D1163" s="41" t="str">
        <f t="shared" si="18"/>
        <v>01698010</v>
      </c>
    </row>
    <row r="1164" spans="1:4" ht="17">
      <c r="A1164" s="42" t="s">
        <v>2326</v>
      </c>
      <c r="B1164" s="43">
        <v>4196</v>
      </c>
      <c r="C1164" s="43" t="s">
        <v>2327</v>
      </c>
      <c r="D1164" s="41" t="str">
        <f t="shared" si="18"/>
        <v>01698257</v>
      </c>
    </row>
    <row r="1165" spans="1:4" ht="17">
      <c r="A1165" s="42" t="s">
        <v>2328</v>
      </c>
      <c r="B1165" s="43">
        <v>4197</v>
      </c>
      <c r="C1165" s="43" t="s">
        <v>2329</v>
      </c>
      <c r="D1165" s="41" t="str">
        <f t="shared" si="18"/>
        <v>01699558</v>
      </c>
    </row>
    <row r="1166" spans="1:4" ht="17">
      <c r="A1166" s="42" t="s">
        <v>2330</v>
      </c>
      <c r="B1166" s="43">
        <v>4198</v>
      </c>
      <c r="C1166" s="43" t="s">
        <v>2331</v>
      </c>
      <c r="D1166" s="41" t="str">
        <f t="shared" si="18"/>
        <v>01699542</v>
      </c>
    </row>
    <row r="1167" spans="1:4" ht="17">
      <c r="A1167" s="42" t="s">
        <v>2332</v>
      </c>
      <c r="B1167" s="43">
        <v>4200</v>
      </c>
      <c r="C1167" s="43" t="s">
        <v>2333</v>
      </c>
      <c r="D1167" s="41" t="str">
        <f t="shared" si="18"/>
        <v>01699809</v>
      </c>
    </row>
    <row r="1168" spans="1:4" ht="17">
      <c r="A1168" s="42" t="s">
        <v>2334</v>
      </c>
      <c r="B1168" s="43">
        <v>4202</v>
      </c>
      <c r="C1168" s="43" t="s">
        <v>2335</v>
      </c>
      <c r="D1168" s="41" t="str">
        <f t="shared" si="18"/>
        <v>01701122</v>
      </c>
    </row>
    <row r="1169" spans="1:4" ht="17">
      <c r="A1169" s="42" t="s">
        <v>2336</v>
      </c>
      <c r="B1169" s="43">
        <v>4206</v>
      </c>
      <c r="C1169" s="43" t="s">
        <v>2337</v>
      </c>
      <c r="D1169" s="41" t="str">
        <f t="shared" si="18"/>
        <v>01702071</v>
      </c>
    </row>
    <row r="1170" spans="1:4" ht="17">
      <c r="A1170" s="42" t="s">
        <v>2338</v>
      </c>
      <c r="B1170" s="43">
        <v>4207</v>
      </c>
      <c r="C1170" s="43" t="s">
        <v>2339</v>
      </c>
      <c r="D1170" s="41" t="str">
        <f t="shared" si="18"/>
        <v>01702276</v>
      </c>
    </row>
    <row r="1171" spans="1:4" ht="17">
      <c r="A1171" s="42" t="s">
        <v>2340</v>
      </c>
      <c r="B1171" s="43">
        <v>4208</v>
      </c>
      <c r="C1171" s="43" t="s">
        <v>2341</v>
      </c>
      <c r="D1171" s="41" t="str">
        <f t="shared" si="18"/>
        <v>01702883</v>
      </c>
    </row>
    <row r="1172" spans="1:4" ht="17">
      <c r="A1172" s="42" t="s">
        <v>2342</v>
      </c>
      <c r="B1172" s="43">
        <v>4210</v>
      </c>
      <c r="C1172" s="43" t="s">
        <v>2343</v>
      </c>
      <c r="D1172" s="41" t="str">
        <f t="shared" si="18"/>
        <v>01704767</v>
      </c>
    </row>
    <row r="1173" spans="1:4" ht="17">
      <c r="A1173" s="42" t="s">
        <v>2344</v>
      </c>
      <c r="B1173" s="43">
        <v>4216</v>
      </c>
      <c r="C1173" s="43" t="s">
        <v>2345</v>
      </c>
      <c r="D1173" s="41" t="str">
        <f t="shared" si="18"/>
        <v>01710494</v>
      </c>
    </row>
    <row r="1174" spans="1:4" ht="17">
      <c r="A1174" s="42" t="s">
        <v>2346</v>
      </c>
      <c r="B1174" s="43">
        <v>4218</v>
      </c>
      <c r="C1174" s="43" t="s">
        <v>2347</v>
      </c>
      <c r="D1174" s="41" t="str">
        <f t="shared" si="18"/>
        <v>01720594</v>
      </c>
    </row>
    <row r="1175" spans="1:4" ht="17">
      <c r="A1175" s="42" t="s">
        <v>2348</v>
      </c>
      <c r="B1175" s="43">
        <v>4219</v>
      </c>
      <c r="C1175" s="43" t="s">
        <v>2349</v>
      </c>
      <c r="D1175" s="41" t="str">
        <f t="shared" si="18"/>
        <v>01720595</v>
      </c>
    </row>
    <row r="1176" spans="1:4" ht="17">
      <c r="A1176" s="42" t="s">
        <v>2350</v>
      </c>
      <c r="B1176" s="43">
        <v>4220</v>
      </c>
      <c r="C1176" s="43" t="s">
        <v>2351</v>
      </c>
      <c r="D1176" s="41" t="str">
        <f t="shared" si="18"/>
        <v>01723776</v>
      </c>
    </row>
    <row r="1177" spans="1:4" ht="17">
      <c r="A1177" s="42" t="s">
        <v>2352</v>
      </c>
      <c r="B1177" s="43">
        <v>4222</v>
      </c>
      <c r="C1177" s="43" t="s">
        <v>2353</v>
      </c>
      <c r="D1177" s="41" t="str">
        <f t="shared" si="18"/>
        <v>01726064</v>
      </c>
    </row>
    <row r="1178" spans="1:4" ht="17">
      <c r="A1178" s="42" t="s">
        <v>2354</v>
      </c>
      <c r="B1178" s="43">
        <v>4231</v>
      </c>
      <c r="C1178" s="43" t="s">
        <v>2355</v>
      </c>
      <c r="D1178" s="41" t="str">
        <f t="shared" si="18"/>
        <v>01728327</v>
      </c>
    </row>
    <row r="1179" spans="1:4" ht="17">
      <c r="A1179" s="42" t="s">
        <v>2356</v>
      </c>
      <c r="B1179" s="43">
        <v>4232</v>
      </c>
      <c r="C1179" s="43" t="s">
        <v>2357</v>
      </c>
      <c r="D1179" s="41" t="str">
        <f t="shared" si="18"/>
        <v>01728328</v>
      </c>
    </row>
    <row r="1180" spans="1:4" ht="17">
      <c r="A1180" s="42" t="s">
        <v>2358</v>
      </c>
      <c r="B1180" s="43">
        <v>4234</v>
      </c>
      <c r="C1180" s="43" t="s">
        <v>2359</v>
      </c>
      <c r="D1180" s="41" t="str">
        <f t="shared" si="18"/>
        <v>01728334</v>
      </c>
    </row>
    <row r="1181" spans="1:4" ht="17">
      <c r="A1181" s="42" t="s">
        <v>2360</v>
      </c>
      <c r="B1181" s="43">
        <v>4236</v>
      </c>
      <c r="C1181" s="43" t="s">
        <v>2361</v>
      </c>
      <c r="D1181" s="41" t="str">
        <f t="shared" si="18"/>
        <v>01728341</v>
      </c>
    </row>
    <row r="1182" spans="1:4" ht="17">
      <c r="A1182" s="42" t="s">
        <v>2362</v>
      </c>
      <c r="B1182" s="43">
        <v>4242</v>
      </c>
      <c r="C1182" s="43" t="s">
        <v>2363</v>
      </c>
      <c r="D1182" s="41" t="str">
        <f t="shared" si="18"/>
        <v>01730213</v>
      </c>
    </row>
    <row r="1183" spans="1:4" ht="17">
      <c r="A1183" s="42" t="s">
        <v>2364</v>
      </c>
      <c r="B1183" s="43">
        <v>4246</v>
      </c>
      <c r="C1183" s="43" t="s">
        <v>2365</v>
      </c>
      <c r="D1183" s="41" t="str">
        <f t="shared" si="18"/>
        <v>01744051</v>
      </c>
    </row>
    <row r="1184" spans="1:4" ht="17">
      <c r="A1184" s="42" t="s">
        <v>2366</v>
      </c>
      <c r="B1184" s="43">
        <v>4248</v>
      </c>
      <c r="C1184" s="43" t="s">
        <v>2367</v>
      </c>
      <c r="D1184" s="41" t="str">
        <f t="shared" si="18"/>
        <v>01744054</v>
      </c>
    </row>
    <row r="1185" spans="1:4" ht="17">
      <c r="A1185" s="42" t="s">
        <v>2368</v>
      </c>
      <c r="B1185" s="43">
        <v>4250</v>
      </c>
      <c r="C1185" s="43" t="s">
        <v>2369</v>
      </c>
      <c r="D1185" s="41" t="str">
        <f t="shared" si="18"/>
        <v>01744955</v>
      </c>
    </row>
    <row r="1186" spans="1:4" ht="17">
      <c r="A1186" s="42" t="s">
        <v>2370</v>
      </c>
      <c r="B1186" s="43">
        <v>4252</v>
      </c>
      <c r="C1186" s="43" t="s">
        <v>2371</v>
      </c>
      <c r="D1186" s="41" t="str">
        <f t="shared" si="18"/>
        <v>01762219</v>
      </c>
    </row>
    <row r="1187" spans="1:4" ht="17">
      <c r="A1187" s="42" t="s">
        <v>2372</v>
      </c>
      <c r="B1187" s="43">
        <v>4257</v>
      </c>
      <c r="C1187" s="43" t="s">
        <v>2373</v>
      </c>
      <c r="D1187" s="41" t="str">
        <f t="shared" si="18"/>
        <v>01774699</v>
      </c>
    </row>
    <row r="1188" spans="1:4" ht="17">
      <c r="A1188" s="42" t="s">
        <v>2374</v>
      </c>
      <c r="B1188" s="43">
        <v>4258</v>
      </c>
      <c r="C1188" s="43" t="s">
        <v>2375</v>
      </c>
      <c r="D1188" s="41" t="str">
        <f t="shared" si="18"/>
        <v>01777191</v>
      </c>
    </row>
    <row r="1189" spans="1:4" ht="17">
      <c r="A1189" s="42" t="s">
        <v>2376</v>
      </c>
      <c r="B1189" s="43">
        <v>4260</v>
      </c>
      <c r="C1189" s="43" t="s">
        <v>2377</v>
      </c>
      <c r="D1189" s="41" t="str">
        <f t="shared" si="18"/>
        <v>01779583</v>
      </c>
    </row>
    <row r="1190" spans="1:4" ht="17">
      <c r="A1190" s="42" t="s">
        <v>2378</v>
      </c>
      <c r="B1190" s="43">
        <v>4264</v>
      </c>
      <c r="C1190" s="43" t="s">
        <v>2379</v>
      </c>
      <c r="D1190" s="41" t="str">
        <f t="shared" si="18"/>
        <v>01781496</v>
      </c>
    </row>
    <row r="1191" spans="1:4" ht="17">
      <c r="A1191" s="42" t="s">
        <v>2380</v>
      </c>
      <c r="B1191" s="43">
        <v>4265</v>
      </c>
      <c r="C1191" s="43" t="s">
        <v>2381</v>
      </c>
      <c r="D1191" s="41" t="str">
        <f t="shared" si="18"/>
        <v>01781509</v>
      </c>
    </row>
    <row r="1192" spans="1:4" ht="17">
      <c r="A1192" s="42" t="s">
        <v>2382</v>
      </c>
      <c r="B1192" s="43">
        <v>4266</v>
      </c>
      <c r="C1192" s="43" t="s">
        <v>2383</v>
      </c>
      <c r="D1192" s="41" t="str">
        <f t="shared" si="18"/>
        <v>01782329</v>
      </c>
    </row>
    <row r="1193" spans="1:4" ht="17">
      <c r="A1193" s="42" t="s">
        <v>2384</v>
      </c>
      <c r="B1193" s="43">
        <v>4272</v>
      </c>
      <c r="C1193" s="43" t="s">
        <v>2385</v>
      </c>
      <c r="D1193" s="41" t="str">
        <f t="shared" si="18"/>
        <v>01804438</v>
      </c>
    </row>
    <row r="1194" spans="1:4" ht="17">
      <c r="A1194" s="42" t="s">
        <v>2386</v>
      </c>
      <c r="B1194" s="43">
        <v>4274</v>
      </c>
      <c r="C1194" s="43" t="s">
        <v>2387</v>
      </c>
      <c r="D1194" s="41" t="str">
        <f t="shared" si="18"/>
        <v>01804459</v>
      </c>
    </row>
    <row r="1195" spans="1:4" ht="17">
      <c r="A1195" s="42" t="s">
        <v>2388</v>
      </c>
      <c r="B1195" s="43">
        <v>4277</v>
      </c>
      <c r="C1195" s="43" t="s">
        <v>1248</v>
      </c>
      <c r="D1195" s="41" t="str">
        <f t="shared" si="18"/>
        <v>01815993</v>
      </c>
    </row>
    <row r="1196" spans="1:4" ht="17">
      <c r="A1196" s="42" t="s">
        <v>2389</v>
      </c>
      <c r="B1196" s="43">
        <v>4279</v>
      </c>
      <c r="C1196" s="43" t="s">
        <v>2390</v>
      </c>
      <c r="D1196" s="41" t="str">
        <f t="shared" si="18"/>
        <v>01815999</v>
      </c>
    </row>
    <row r="1197" spans="1:4" ht="17">
      <c r="A1197" s="42" t="s">
        <v>2391</v>
      </c>
      <c r="B1197" s="43">
        <v>4281</v>
      </c>
      <c r="C1197" s="43" t="s">
        <v>2392</v>
      </c>
      <c r="D1197" s="41" t="str">
        <f t="shared" si="18"/>
        <v>01816003</v>
      </c>
    </row>
    <row r="1198" spans="1:4" ht="17">
      <c r="A1198" s="42" t="s">
        <v>2393</v>
      </c>
      <c r="B1198" s="43">
        <v>4284</v>
      </c>
      <c r="C1198" s="43" t="s">
        <v>2394</v>
      </c>
      <c r="D1198" s="41" t="str">
        <f t="shared" si="18"/>
        <v>01824278</v>
      </c>
    </row>
    <row r="1199" spans="1:4" ht="17">
      <c r="A1199" s="42" t="s">
        <v>2395</v>
      </c>
      <c r="B1199" s="43">
        <v>4285</v>
      </c>
      <c r="C1199" s="43" t="s">
        <v>394</v>
      </c>
      <c r="D1199" s="41" t="str">
        <f t="shared" si="18"/>
        <v>01824280</v>
      </c>
    </row>
    <row r="1200" spans="1:4" ht="17">
      <c r="A1200" s="42" t="s">
        <v>2396</v>
      </c>
      <c r="B1200" s="43">
        <v>4289</v>
      </c>
      <c r="C1200" s="43" t="s">
        <v>2397</v>
      </c>
      <c r="D1200" s="41" t="str">
        <f t="shared" si="18"/>
        <v>01833580</v>
      </c>
    </row>
    <row r="1201" spans="1:4" ht="17">
      <c r="A1201" s="42" t="s">
        <v>2398</v>
      </c>
      <c r="B1201" s="43">
        <v>4291</v>
      </c>
      <c r="C1201" s="43" t="s">
        <v>2399</v>
      </c>
      <c r="D1201" s="41" t="str">
        <f t="shared" si="18"/>
        <v>01834321</v>
      </c>
    </row>
    <row r="1202" spans="1:4" ht="17">
      <c r="A1202" s="42" t="s">
        <v>2400</v>
      </c>
      <c r="B1202" s="43">
        <v>4292</v>
      </c>
      <c r="C1202" s="43" t="s">
        <v>2401</v>
      </c>
      <c r="D1202" s="41" t="str">
        <f t="shared" si="18"/>
        <v>01834589</v>
      </c>
    </row>
    <row r="1203" spans="1:4" ht="17">
      <c r="A1203" s="42" t="s">
        <v>2402</v>
      </c>
      <c r="B1203" s="43">
        <v>4293</v>
      </c>
      <c r="C1203" s="43" t="s">
        <v>2403</v>
      </c>
      <c r="D1203" s="41" t="str">
        <f t="shared" si="18"/>
        <v>01837004</v>
      </c>
    </row>
    <row r="1204" spans="1:4" ht="17">
      <c r="A1204" s="42" t="s">
        <v>2404</v>
      </c>
      <c r="B1204" s="43">
        <v>4295</v>
      </c>
      <c r="C1204" s="43" t="s">
        <v>2405</v>
      </c>
      <c r="D1204" s="41" t="str">
        <f t="shared" si="18"/>
        <v>01837025</v>
      </c>
    </row>
    <row r="1205" spans="1:4" ht="17">
      <c r="A1205" s="42" t="s">
        <v>2406</v>
      </c>
      <c r="B1205" s="43">
        <v>4303</v>
      </c>
      <c r="C1205" s="43" t="s">
        <v>2407</v>
      </c>
      <c r="D1205" s="41" t="str">
        <f t="shared" si="18"/>
        <v>01837843</v>
      </c>
    </row>
    <row r="1206" spans="1:4" ht="17">
      <c r="A1206" s="42" t="s">
        <v>2408</v>
      </c>
      <c r="B1206" s="43">
        <v>4305</v>
      </c>
      <c r="C1206" s="43" t="s">
        <v>2409</v>
      </c>
      <c r="D1206" s="41" t="str">
        <f t="shared" si="18"/>
        <v>01838624</v>
      </c>
    </row>
    <row r="1207" spans="1:4" ht="17">
      <c r="A1207" s="42" t="s">
        <v>2410</v>
      </c>
      <c r="B1207" s="43">
        <v>4308</v>
      </c>
      <c r="C1207" s="43" t="s">
        <v>2411</v>
      </c>
      <c r="D1207" s="41" t="str">
        <f t="shared" si="18"/>
        <v>01839678</v>
      </c>
    </row>
    <row r="1208" spans="1:4" ht="17">
      <c r="A1208" s="42" t="s">
        <v>2412</v>
      </c>
      <c r="B1208" s="43">
        <v>4312</v>
      </c>
      <c r="C1208" s="43" t="s">
        <v>2413</v>
      </c>
      <c r="D1208" s="41" t="str">
        <f t="shared" si="18"/>
        <v>01843932</v>
      </c>
    </row>
    <row r="1209" spans="1:4" ht="17">
      <c r="A1209" s="42" t="s">
        <v>2414</v>
      </c>
      <c r="B1209" s="43">
        <v>4313</v>
      </c>
      <c r="C1209" s="43" t="s">
        <v>2415</v>
      </c>
      <c r="D1209" s="41" t="str">
        <f t="shared" si="18"/>
        <v>01843935</v>
      </c>
    </row>
    <row r="1210" spans="1:4" ht="17">
      <c r="A1210" s="42" t="s">
        <v>2416</v>
      </c>
      <c r="B1210" s="43">
        <v>4365</v>
      </c>
      <c r="C1210" s="43" t="s">
        <v>2417</v>
      </c>
      <c r="D1210" s="41" t="str">
        <f t="shared" si="18"/>
        <v>01857259</v>
      </c>
    </row>
    <row r="1211" spans="1:4" ht="17">
      <c r="A1211" s="42" t="s">
        <v>2418</v>
      </c>
      <c r="B1211" s="43">
        <v>4396</v>
      </c>
      <c r="C1211" s="43" t="s">
        <v>2419</v>
      </c>
      <c r="D1211" s="41" t="str">
        <f t="shared" si="18"/>
        <v>01865952</v>
      </c>
    </row>
    <row r="1212" spans="1:4" ht="17">
      <c r="A1212" s="42" t="s">
        <v>2420</v>
      </c>
      <c r="B1212" s="43">
        <v>4418</v>
      </c>
      <c r="C1212" s="43" t="s">
        <v>2421</v>
      </c>
      <c r="D1212" s="41" t="str">
        <f t="shared" si="18"/>
        <v>01393673</v>
      </c>
    </row>
    <row r="1213" spans="1:4" ht="17">
      <c r="A1213" s="42" t="s">
        <v>2422</v>
      </c>
      <c r="B1213" s="43">
        <v>4428</v>
      </c>
      <c r="C1213" s="43" t="s">
        <v>2423</v>
      </c>
      <c r="D1213" s="41" t="str">
        <f t="shared" si="18"/>
        <v>01880613</v>
      </c>
    </row>
    <row r="1214" spans="1:4" ht="17">
      <c r="A1214" s="42" t="s">
        <v>2424</v>
      </c>
      <c r="B1214" s="43">
        <v>4436</v>
      </c>
      <c r="C1214" s="43" t="s">
        <v>2425</v>
      </c>
      <c r="D1214" s="41" t="str">
        <f t="shared" si="18"/>
        <v>01884188</v>
      </c>
    </row>
    <row r="1215" spans="1:4" ht="17">
      <c r="A1215" s="42" t="s">
        <v>2426</v>
      </c>
      <c r="B1215" s="43">
        <v>4437</v>
      </c>
      <c r="C1215" s="43" t="s">
        <v>2427</v>
      </c>
      <c r="D1215" s="41" t="str">
        <f t="shared" si="18"/>
        <v>01884513</v>
      </c>
    </row>
    <row r="1216" spans="1:4" ht="17">
      <c r="A1216" s="42" t="s">
        <v>2428</v>
      </c>
      <c r="B1216" s="43">
        <v>4439</v>
      </c>
      <c r="C1216" s="43" t="s">
        <v>2429</v>
      </c>
      <c r="D1216" s="41" t="str">
        <f t="shared" si="18"/>
        <v>01884817</v>
      </c>
    </row>
    <row r="1217" spans="1:4" ht="17">
      <c r="A1217" s="42" t="s">
        <v>2430</v>
      </c>
      <c r="B1217" s="43">
        <v>4440</v>
      </c>
      <c r="C1217" s="43" t="s">
        <v>2431</v>
      </c>
      <c r="D1217" s="41" t="str">
        <f t="shared" si="18"/>
        <v>01885413</v>
      </c>
    </row>
    <row r="1218" spans="1:4" ht="17">
      <c r="A1218" s="42" t="s">
        <v>2432</v>
      </c>
      <c r="B1218" s="43">
        <v>4444</v>
      </c>
      <c r="C1218" s="43" t="s">
        <v>2433</v>
      </c>
      <c r="D1218" s="41" t="str">
        <f t="shared" si="18"/>
        <v>01889331</v>
      </c>
    </row>
    <row r="1219" spans="1:4" ht="17">
      <c r="A1219" s="42" t="s">
        <v>2434</v>
      </c>
      <c r="B1219" s="43">
        <v>4446</v>
      </c>
      <c r="C1219" s="43" t="s">
        <v>2435</v>
      </c>
      <c r="D1219" s="41" t="str">
        <f t="shared" ref="D1219:D1282" si="19">TEXT(A1219,"00000000")</f>
        <v>01893247</v>
      </c>
    </row>
    <row r="1220" spans="1:4" ht="17">
      <c r="A1220" s="42" t="s">
        <v>2436</v>
      </c>
      <c r="B1220" s="43">
        <v>4447</v>
      </c>
      <c r="C1220" s="43" t="s">
        <v>2437</v>
      </c>
      <c r="D1220" s="41" t="str">
        <f t="shared" si="19"/>
        <v>01893935</v>
      </c>
    </row>
    <row r="1221" spans="1:4" ht="17">
      <c r="A1221" s="42" t="s">
        <v>2438</v>
      </c>
      <c r="B1221" s="43">
        <v>4449</v>
      </c>
      <c r="C1221" s="43" t="s">
        <v>2439</v>
      </c>
      <c r="D1221" s="41" t="str">
        <f t="shared" si="19"/>
        <v>01896375</v>
      </c>
    </row>
    <row r="1222" spans="1:4" ht="17">
      <c r="A1222" s="42" t="s">
        <v>2440</v>
      </c>
      <c r="B1222" s="43">
        <v>4454</v>
      </c>
      <c r="C1222" s="43" t="s">
        <v>2441</v>
      </c>
      <c r="D1222" s="41" t="str">
        <f t="shared" si="19"/>
        <v>01901955</v>
      </c>
    </row>
    <row r="1223" spans="1:4" ht="17">
      <c r="A1223" s="42" t="s">
        <v>2442</v>
      </c>
      <c r="B1223" s="43">
        <v>4457</v>
      </c>
      <c r="C1223" s="43" t="s">
        <v>2443</v>
      </c>
      <c r="D1223" s="41" t="str">
        <f t="shared" si="19"/>
        <v>01904942</v>
      </c>
    </row>
    <row r="1224" spans="1:4" ht="17">
      <c r="A1224" s="42" t="s">
        <v>2444</v>
      </c>
      <c r="B1224" s="43">
        <v>4459</v>
      </c>
      <c r="C1224" s="43" t="s">
        <v>2445</v>
      </c>
      <c r="D1224" s="41" t="str">
        <f t="shared" si="19"/>
        <v>01908147</v>
      </c>
    </row>
    <row r="1225" spans="1:4" ht="17">
      <c r="A1225" s="42" t="s">
        <v>2446</v>
      </c>
      <c r="B1225" s="43">
        <v>4460</v>
      </c>
      <c r="C1225" s="43" t="s">
        <v>2447</v>
      </c>
      <c r="D1225" s="41" t="str">
        <f t="shared" si="19"/>
        <v>01911345</v>
      </c>
    </row>
    <row r="1226" spans="1:4" ht="17">
      <c r="A1226" s="42" t="s">
        <v>2448</v>
      </c>
      <c r="B1226" s="43">
        <v>4461</v>
      </c>
      <c r="C1226" s="43" t="s">
        <v>1949</v>
      </c>
      <c r="D1226" s="41" t="str">
        <f t="shared" si="19"/>
        <v>01911347</v>
      </c>
    </row>
    <row r="1227" spans="1:4" ht="17">
      <c r="A1227" s="42" t="s">
        <v>2449</v>
      </c>
      <c r="B1227" s="43">
        <v>4463</v>
      </c>
      <c r="C1227" s="43" t="s">
        <v>2450</v>
      </c>
      <c r="D1227" s="41" t="str">
        <f t="shared" si="19"/>
        <v>01912831</v>
      </c>
    </row>
    <row r="1228" spans="1:4" ht="17">
      <c r="A1228" s="42" t="s">
        <v>2451</v>
      </c>
      <c r="B1228" s="43">
        <v>4468</v>
      </c>
      <c r="C1228" s="43" t="s">
        <v>2452</v>
      </c>
      <c r="D1228" s="41" t="str">
        <f t="shared" si="19"/>
        <v>01918948</v>
      </c>
    </row>
    <row r="1229" spans="1:4" ht="17">
      <c r="A1229" s="42" t="s">
        <v>2453</v>
      </c>
      <c r="B1229" s="43">
        <v>4469</v>
      </c>
      <c r="C1229" s="43" t="s">
        <v>2454</v>
      </c>
      <c r="D1229" s="41" t="str">
        <f t="shared" si="19"/>
        <v>01921270</v>
      </c>
    </row>
    <row r="1230" spans="1:4" ht="17">
      <c r="A1230" s="42" t="s">
        <v>2455</v>
      </c>
      <c r="B1230" s="43">
        <v>4475</v>
      </c>
      <c r="C1230" s="43" t="s">
        <v>2456</v>
      </c>
      <c r="D1230" s="41" t="str">
        <f t="shared" si="19"/>
        <v>01926449</v>
      </c>
    </row>
    <row r="1231" spans="1:4" ht="17">
      <c r="A1231" s="42" t="s">
        <v>2457</v>
      </c>
      <c r="B1231" s="43">
        <v>4478</v>
      </c>
      <c r="C1231" s="43" t="s">
        <v>2458</v>
      </c>
      <c r="D1231" s="41" t="str">
        <f t="shared" si="19"/>
        <v>01931275</v>
      </c>
    </row>
    <row r="1232" spans="1:4" ht="17">
      <c r="A1232" s="42" t="s">
        <v>2459</v>
      </c>
      <c r="B1232" s="43">
        <v>4484</v>
      </c>
      <c r="C1232" s="43" t="s">
        <v>2460</v>
      </c>
      <c r="D1232" s="41" t="str">
        <f t="shared" si="19"/>
        <v>01931952</v>
      </c>
    </row>
    <row r="1233" spans="1:4" ht="17">
      <c r="A1233" s="42" t="s">
        <v>2461</v>
      </c>
      <c r="B1233" s="43">
        <v>4486</v>
      </c>
      <c r="C1233" s="43" t="s">
        <v>2462</v>
      </c>
      <c r="D1233" s="41" t="str">
        <f t="shared" si="19"/>
        <v>01932972</v>
      </c>
    </row>
    <row r="1234" spans="1:4" ht="17">
      <c r="A1234" s="42" t="s">
        <v>2463</v>
      </c>
      <c r="B1234" s="43">
        <v>4487</v>
      </c>
      <c r="C1234" s="43" t="s">
        <v>2464</v>
      </c>
      <c r="D1234" s="41" t="str">
        <f t="shared" si="19"/>
        <v>01932973</v>
      </c>
    </row>
    <row r="1235" spans="1:4" ht="17">
      <c r="A1235" s="42" t="s">
        <v>2465</v>
      </c>
      <c r="B1235" s="43">
        <v>4490</v>
      </c>
      <c r="C1235" s="43" t="s">
        <v>2466</v>
      </c>
      <c r="D1235" s="41" t="str">
        <f t="shared" si="19"/>
        <v>01939624</v>
      </c>
    </row>
    <row r="1236" spans="1:4" ht="17">
      <c r="A1236" s="42" t="s">
        <v>2467</v>
      </c>
      <c r="B1236" s="43">
        <v>4493</v>
      </c>
      <c r="C1236" s="43" t="s">
        <v>2468</v>
      </c>
      <c r="D1236" s="41" t="str">
        <f t="shared" si="19"/>
        <v>01941245</v>
      </c>
    </row>
    <row r="1237" spans="1:4" ht="17">
      <c r="A1237" s="42" t="s">
        <v>2469</v>
      </c>
      <c r="B1237" s="43">
        <v>4499</v>
      </c>
      <c r="C1237" s="43" t="s">
        <v>2470</v>
      </c>
      <c r="D1237" s="41" t="str">
        <f t="shared" si="19"/>
        <v>01946861</v>
      </c>
    </row>
    <row r="1238" spans="1:4" ht="17">
      <c r="A1238" s="42" t="s">
        <v>2471</v>
      </c>
      <c r="B1238" s="43">
        <v>4501</v>
      </c>
      <c r="C1238" s="43" t="s">
        <v>2472</v>
      </c>
      <c r="D1238" s="41" t="str">
        <f t="shared" si="19"/>
        <v>01948872</v>
      </c>
    </row>
    <row r="1239" spans="1:4" ht="17">
      <c r="A1239" s="42" t="s">
        <v>2473</v>
      </c>
      <c r="B1239" s="43">
        <v>4502</v>
      </c>
      <c r="C1239" s="43" t="s">
        <v>2474</v>
      </c>
      <c r="D1239" s="41" t="str">
        <f t="shared" si="19"/>
        <v>01426809</v>
      </c>
    </row>
    <row r="1240" spans="1:4" ht="17">
      <c r="A1240" s="42" t="s">
        <v>2475</v>
      </c>
      <c r="B1240" s="43">
        <v>4503</v>
      </c>
      <c r="C1240" s="43" t="s">
        <v>2476</v>
      </c>
      <c r="D1240" s="41" t="str">
        <f t="shared" si="19"/>
        <v>01951147</v>
      </c>
    </row>
    <row r="1241" spans="1:4" ht="17">
      <c r="A1241" s="42" t="s">
        <v>2477</v>
      </c>
      <c r="B1241" s="43">
        <v>4505</v>
      </c>
      <c r="C1241" s="43" t="s">
        <v>2478</v>
      </c>
      <c r="D1241" s="41" t="str">
        <f t="shared" si="19"/>
        <v>01954071</v>
      </c>
    </row>
    <row r="1242" spans="1:4" ht="17">
      <c r="A1242" s="42" t="s">
        <v>2479</v>
      </c>
      <c r="B1242" s="43">
        <v>4506</v>
      </c>
      <c r="C1242" s="43" t="s">
        <v>2480</v>
      </c>
      <c r="D1242" s="41" t="str">
        <f t="shared" si="19"/>
        <v>01954397</v>
      </c>
    </row>
    <row r="1243" spans="1:4" ht="17">
      <c r="A1243" s="42" t="s">
        <v>2481</v>
      </c>
      <c r="B1243" s="43">
        <v>4515</v>
      </c>
      <c r="C1243" s="43" t="s">
        <v>2482</v>
      </c>
      <c r="D1243" s="41" t="str">
        <f t="shared" si="19"/>
        <v>01962246</v>
      </c>
    </row>
    <row r="1244" spans="1:4" ht="17">
      <c r="A1244" s="42" t="s">
        <v>2483</v>
      </c>
      <c r="B1244" s="43">
        <v>4523</v>
      </c>
      <c r="C1244" s="43" t="s">
        <v>1896</v>
      </c>
      <c r="D1244" s="41" t="str">
        <f t="shared" si="19"/>
        <v>01965130</v>
      </c>
    </row>
    <row r="1245" spans="1:4" ht="17">
      <c r="A1245" s="42" t="s">
        <v>2484</v>
      </c>
      <c r="B1245" s="43">
        <v>4524</v>
      </c>
      <c r="C1245" s="43" t="s">
        <v>2485</v>
      </c>
      <c r="D1245" s="41" t="str">
        <f t="shared" si="19"/>
        <v>01966829</v>
      </c>
    </row>
    <row r="1246" spans="1:4" ht="17">
      <c r="A1246" s="42" t="s">
        <v>2486</v>
      </c>
      <c r="B1246" s="43">
        <v>4527</v>
      </c>
      <c r="C1246" s="43" t="s">
        <v>902</v>
      </c>
      <c r="D1246" s="41" t="str">
        <f t="shared" si="19"/>
        <v>01969648</v>
      </c>
    </row>
    <row r="1247" spans="1:4" ht="17">
      <c r="A1247" s="42" t="s">
        <v>2487</v>
      </c>
      <c r="B1247" s="43">
        <v>4528</v>
      </c>
      <c r="C1247" s="43" t="s">
        <v>2488</v>
      </c>
      <c r="D1247" s="41" t="str">
        <f t="shared" si="19"/>
        <v>01969650</v>
      </c>
    </row>
    <row r="1248" spans="1:4" ht="17">
      <c r="A1248" s="42" t="s">
        <v>2489</v>
      </c>
      <c r="B1248" s="43">
        <v>4529</v>
      </c>
      <c r="C1248" s="43" t="s">
        <v>2490</v>
      </c>
      <c r="D1248" s="41" t="str">
        <f t="shared" si="19"/>
        <v>01970313</v>
      </c>
    </row>
    <row r="1249" spans="1:4" ht="17">
      <c r="A1249" s="42" t="s">
        <v>2491</v>
      </c>
      <c r="B1249" s="43">
        <v>4535</v>
      </c>
      <c r="C1249" s="43" t="s">
        <v>2492</v>
      </c>
      <c r="D1249" s="41" t="str">
        <f t="shared" si="19"/>
        <v>01976294</v>
      </c>
    </row>
    <row r="1250" spans="1:4" ht="17">
      <c r="A1250" s="42" t="s">
        <v>2493</v>
      </c>
      <c r="B1250" s="43">
        <v>4536</v>
      </c>
      <c r="C1250" s="43" t="s">
        <v>2494</v>
      </c>
      <c r="D1250" s="41" t="str">
        <f t="shared" si="19"/>
        <v>01976560</v>
      </c>
    </row>
    <row r="1251" spans="1:4" ht="17">
      <c r="A1251" s="42" t="s">
        <v>2495</v>
      </c>
      <c r="B1251" s="43">
        <v>4538</v>
      </c>
      <c r="C1251" s="43" t="s">
        <v>2496</v>
      </c>
      <c r="D1251" s="41" t="str">
        <f t="shared" si="19"/>
        <v>CG002698</v>
      </c>
    </row>
    <row r="1252" spans="1:4" ht="17">
      <c r="A1252" s="42" t="s">
        <v>2497</v>
      </c>
      <c r="B1252" s="43">
        <v>4540</v>
      </c>
      <c r="C1252" s="43" t="s">
        <v>2498</v>
      </c>
      <c r="D1252" s="41" t="str">
        <f t="shared" si="19"/>
        <v>01985338</v>
      </c>
    </row>
    <row r="1253" spans="1:4" ht="17">
      <c r="A1253" s="42" t="s">
        <v>2499</v>
      </c>
      <c r="B1253" s="43">
        <v>4541</v>
      </c>
      <c r="C1253" s="43" t="s">
        <v>2500</v>
      </c>
      <c r="D1253" s="41" t="str">
        <f t="shared" si="19"/>
        <v>01986794</v>
      </c>
    </row>
    <row r="1254" spans="1:4" ht="17">
      <c r="A1254" s="42" t="s">
        <v>2501</v>
      </c>
      <c r="B1254" s="43">
        <v>4543</v>
      </c>
      <c r="C1254" s="43" t="s">
        <v>2502</v>
      </c>
      <c r="D1254" s="41" t="str">
        <f t="shared" si="19"/>
        <v>01988478</v>
      </c>
    </row>
    <row r="1255" spans="1:4" ht="17">
      <c r="A1255" s="42" t="s">
        <v>2503</v>
      </c>
      <c r="B1255" s="43">
        <v>4546</v>
      </c>
      <c r="C1255" s="43" t="s">
        <v>2504</v>
      </c>
      <c r="D1255" s="41" t="str">
        <f t="shared" si="19"/>
        <v>01991835</v>
      </c>
    </row>
    <row r="1256" spans="1:4" ht="17">
      <c r="A1256" s="42" t="s">
        <v>2505</v>
      </c>
      <c r="B1256" s="43">
        <v>4553</v>
      </c>
      <c r="C1256" s="43" t="s">
        <v>2506</v>
      </c>
      <c r="D1256" s="41" t="str">
        <f t="shared" si="19"/>
        <v>01993463</v>
      </c>
    </row>
    <row r="1257" spans="1:4" ht="17">
      <c r="A1257" s="42" t="s">
        <v>2507</v>
      </c>
      <c r="B1257" s="43">
        <v>4555</v>
      </c>
      <c r="C1257" s="43" t="s">
        <v>2508</v>
      </c>
      <c r="D1257" s="41" t="str">
        <f t="shared" si="19"/>
        <v>01994458</v>
      </c>
    </row>
    <row r="1258" spans="1:4" ht="17">
      <c r="A1258" s="42" t="s">
        <v>2509</v>
      </c>
      <c r="B1258" s="43">
        <v>4556</v>
      </c>
      <c r="C1258" s="43" t="s">
        <v>2510</v>
      </c>
      <c r="D1258" s="41" t="str">
        <f t="shared" si="19"/>
        <v>01995230</v>
      </c>
    </row>
    <row r="1259" spans="1:4" ht="17">
      <c r="A1259" s="42" t="s">
        <v>2511</v>
      </c>
      <c r="B1259" s="43">
        <v>4557</v>
      </c>
      <c r="C1259" s="43" t="s">
        <v>2512</v>
      </c>
      <c r="D1259" s="41" t="str">
        <f t="shared" si="19"/>
        <v>01996226</v>
      </c>
    </row>
    <row r="1260" spans="1:4" ht="17">
      <c r="A1260" s="42" t="s">
        <v>2513</v>
      </c>
      <c r="B1260" s="43">
        <v>4558</v>
      </c>
      <c r="C1260" s="43" t="s">
        <v>2514</v>
      </c>
      <c r="D1260" s="41" t="str">
        <f t="shared" si="19"/>
        <v>01997698</v>
      </c>
    </row>
    <row r="1261" spans="1:4" ht="17">
      <c r="A1261" s="42" t="s">
        <v>2515</v>
      </c>
      <c r="B1261" s="43">
        <v>4561</v>
      </c>
      <c r="C1261" s="43" t="s">
        <v>2516</v>
      </c>
      <c r="D1261" s="41" t="str">
        <f t="shared" si="19"/>
        <v>02000302</v>
      </c>
    </row>
    <row r="1262" spans="1:4" ht="17">
      <c r="A1262" s="42" t="s">
        <v>2517</v>
      </c>
      <c r="B1262" s="43">
        <v>4563</v>
      </c>
      <c r="C1262" s="43" t="s">
        <v>2518</v>
      </c>
      <c r="D1262" s="41" t="str">
        <f t="shared" si="19"/>
        <v>02001397</v>
      </c>
    </row>
    <row r="1263" spans="1:4" ht="17">
      <c r="A1263" s="42" t="s">
        <v>2519</v>
      </c>
      <c r="B1263" s="43">
        <v>4567</v>
      </c>
      <c r="C1263" s="43" t="s">
        <v>2520</v>
      </c>
      <c r="D1263" s="41" t="str">
        <f t="shared" si="19"/>
        <v>02003866</v>
      </c>
    </row>
    <row r="1264" spans="1:4" ht="17">
      <c r="A1264" s="42" t="s">
        <v>2521</v>
      </c>
      <c r="B1264" s="43">
        <v>4572</v>
      </c>
      <c r="C1264" s="43" t="s">
        <v>2522</v>
      </c>
      <c r="D1264" s="41" t="str">
        <f t="shared" si="19"/>
        <v>02005403</v>
      </c>
    </row>
    <row r="1265" spans="1:4" ht="17">
      <c r="A1265" s="42" t="s">
        <v>2523</v>
      </c>
      <c r="B1265" s="43">
        <v>4573</v>
      </c>
      <c r="C1265" s="43" t="s">
        <v>2524</v>
      </c>
      <c r="D1265" s="41" t="str">
        <f t="shared" si="19"/>
        <v>02005786</v>
      </c>
    </row>
    <row r="1266" spans="1:4" ht="17">
      <c r="A1266" s="42" t="s">
        <v>2525</v>
      </c>
      <c r="B1266" s="43">
        <v>4580</v>
      </c>
      <c r="C1266" s="43" t="s">
        <v>2526</v>
      </c>
      <c r="D1266" s="41" t="str">
        <f t="shared" si="19"/>
        <v>02016526</v>
      </c>
    </row>
    <row r="1267" spans="1:4" ht="17">
      <c r="A1267" s="42" t="s">
        <v>2527</v>
      </c>
      <c r="B1267" s="43">
        <v>4600</v>
      </c>
      <c r="C1267" s="43" t="s">
        <v>2528</v>
      </c>
      <c r="D1267" s="41" t="str">
        <f t="shared" si="19"/>
        <v>CG002858</v>
      </c>
    </row>
    <row r="1268" spans="1:4" ht="17">
      <c r="A1268" s="42" t="s">
        <v>2529</v>
      </c>
      <c r="B1268" s="43">
        <v>4602</v>
      </c>
      <c r="C1268" s="43" t="s">
        <v>2530</v>
      </c>
      <c r="D1268" s="41" t="str">
        <f t="shared" si="19"/>
        <v>02037613</v>
      </c>
    </row>
    <row r="1269" spans="1:4" ht="17">
      <c r="A1269" s="42" t="s">
        <v>2531</v>
      </c>
      <c r="B1269" s="43">
        <v>4603</v>
      </c>
      <c r="C1269" s="43" t="s">
        <v>2532</v>
      </c>
      <c r="D1269" s="41" t="str">
        <f t="shared" si="19"/>
        <v>02043002</v>
      </c>
    </row>
    <row r="1270" spans="1:4" ht="17">
      <c r="A1270" s="42" t="s">
        <v>2533</v>
      </c>
      <c r="B1270" s="43">
        <v>4604</v>
      </c>
      <c r="C1270" s="43" t="s">
        <v>2534</v>
      </c>
      <c r="D1270" s="41" t="str">
        <f t="shared" si="19"/>
        <v>02044801</v>
      </c>
    </row>
    <row r="1271" spans="1:4" ht="17">
      <c r="A1271" s="42" t="s">
        <v>2535</v>
      </c>
      <c r="B1271" s="43">
        <v>4605</v>
      </c>
      <c r="C1271" s="43" t="s">
        <v>2536</v>
      </c>
      <c r="D1271" s="41" t="str">
        <f t="shared" si="19"/>
        <v>02068691</v>
      </c>
    </row>
    <row r="1272" spans="1:4" ht="17">
      <c r="A1272" s="42" t="s">
        <v>2537</v>
      </c>
      <c r="B1272" s="43">
        <v>4606</v>
      </c>
      <c r="C1272" s="43" t="s">
        <v>2538</v>
      </c>
      <c r="D1272" s="41" t="str">
        <f t="shared" si="19"/>
        <v>02082996</v>
      </c>
    </row>
    <row r="1273" spans="1:4" ht="17">
      <c r="A1273" s="42" t="s">
        <v>2539</v>
      </c>
      <c r="B1273" s="43">
        <v>4607</v>
      </c>
      <c r="C1273" s="43" t="s">
        <v>2540</v>
      </c>
      <c r="D1273" s="41" t="str">
        <f t="shared" si="19"/>
        <v>02088254</v>
      </c>
    </row>
    <row r="1274" spans="1:4" ht="17">
      <c r="A1274" s="42" t="s">
        <v>2541</v>
      </c>
      <c r="B1274" s="43">
        <v>4614</v>
      </c>
      <c r="C1274" s="43" t="s">
        <v>2542</v>
      </c>
      <c r="D1274" s="41" t="str">
        <f t="shared" si="19"/>
        <v>02094553</v>
      </c>
    </row>
    <row r="1275" spans="1:4" ht="17">
      <c r="A1275" s="42" t="s">
        <v>2543</v>
      </c>
      <c r="B1275" s="43">
        <v>4615</v>
      </c>
      <c r="C1275" s="43" t="s">
        <v>2544</v>
      </c>
      <c r="D1275" s="41" t="str">
        <f t="shared" si="19"/>
        <v>02095467</v>
      </c>
    </row>
    <row r="1276" spans="1:4" ht="17">
      <c r="A1276" s="42" t="s">
        <v>2545</v>
      </c>
      <c r="B1276" s="43">
        <v>4616</v>
      </c>
      <c r="C1276" s="43" t="s">
        <v>2546</v>
      </c>
      <c r="D1276" s="41" t="str">
        <f t="shared" si="19"/>
        <v>02096977</v>
      </c>
    </row>
    <row r="1277" spans="1:4" ht="17">
      <c r="A1277" s="42" t="s">
        <v>2547</v>
      </c>
      <c r="B1277" s="43">
        <v>4617</v>
      </c>
      <c r="C1277" s="43" t="s">
        <v>2548</v>
      </c>
      <c r="D1277" s="41" t="str">
        <f t="shared" si="19"/>
        <v>02097183</v>
      </c>
    </row>
    <row r="1278" spans="1:4" ht="17">
      <c r="A1278" s="42" t="s">
        <v>2549</v>
      </c>
      <c r="B1278" s="43">
        <v>4620</v>
      </c>
      <c r="C1278" s="43" t="s">
        <v>2550</v>
      </c>
      <c r="D1278" s="41" t="str">
        <f t="shared" si="19"/>
        <v>02114216</v>
      </c>
    </row>
    <row r="1279" spans="1:4" ht="17">
      <c r="A1279" s="42" t="s">
        <v>2551</v>
      </c>
      <c r="B1279" s="43">
        <v>4621</v>
      </c>
      <c r="C1279" s="43" t="s">
        <v>2552</v>
      </c>
      <c r="D1279" s="41" t="str">
        <f t="shared" si="19"/>
        <v>01924105</v>
      </c>
    </row>
    <row r="1280" spans="1:4" ht="17">
      <c r="A1280" s="42" t="s">
        <v>2553</v>
      </c>
      <c r="B1280" s="43">
        <v>4623</v>
      </c>
      <c r="C1280" s="43" t="s">
        <v>2554</v>
      </c>
      <c r="D1280" s="41" t="str">
        <f t="shared" si="19"/>
        <v>02131639</v>
      </c>
    </row>
    <row r="1281" spans="1:4" ht="17">
      <c r="A1281" s="42" t="s">
        <v>2555</v>
      </c>
      <c r="B1281" s="43">
        <v>4624</v>
      </c>
      <c r="C1281" s="43" t="s">
        <v>2556</v>
      </c>
      <c r="D1281" s="41" t="str">
        <f t="shared" si="19"/>
        <v>02132305</v>
      </c>
    </row>
    <row r="1282" spans="1:4" ht="17">
      <c r="A1282" s="42" t="s">
        <v>2557</v>
      </c>
      <c r="B1282" s="43">
        <v>4625</v>
      </c>
      <c r="C1282" s="43" t="s">
        <v>2558</v>
      </c>
      <c r="D1282" s="41" t="str">
        <f t="shared" si="19"/>
        <v>02134111</v>
      </c>
    </row>
    <row r="1283" spans="1:4" ht="17">
      <c r="A1283" s="42" t="s">
        <v>2559</v>
      </c>
      <c r="B1283" s="43">
        <v>4626</v>
      </c>
      <c r="C1283" s="43" t="s">
        <v>2560</v>
      </c>
      <c r="D1283" s="41" t="str">
        <f t="shared" ref="D1283:D1316" si="20">TEXT(A1283,"00000000")</f>
        <v>02134643</v>
      </c>
    </row>
    <row r="1284" spans="1:4" ht="17">
      <c r="A1284" s="42" t="s">
        <v>2561</v>
      </c>
      <c r="B1284" s="43">
        <v>4627</v>
      </c>
      <c r="C1284" s="43" t="s">
        <v>2562</v>
      </c>
      <c r="D1284" s="41" t="str">
        <f t="shared" si="20"/>
        <v>02135490</v>
      </c>
    </row>
    <row r="1285" spans="1:4" ht="17">
      <c r="A1285" s="42" t="s">
        <v>2563</v>
      </c>
      <c r="B1285" s="43">
        <v>4628</v>
      </c>
      <c r="C1285" s="43" t="s">
        <v>2564</v>
      </c>
      <c r="D1285" s="41" t="str">
        <f t="shared" si="20"/>
        <v>02135713</v>
      </c>
    </row>
    <row r="1286" spans="1:4" ht="17">
      <c r="A1286" s="42" t="s">
        <v>2565</v>
      </c>
      <c r="B1286" s="43">
        <v>4629</v>
      </c>
      <c r="C1286" s="43" t="s">
        <v>2566</v>
      </c>
      <c r="D1286" s="41" t="str">
        <f t="shared" si="20"/>
        <v>02137605</v>
      </c>
    </row>
    <row r="1287" spans="1:4" ht="17">
      <c r="A1287" s="42" t="s">
        <v>2567</v>
      </c>
      <c r="B1287" s="43">
        <v>4630</v>
      </c>
      <c r="C1287" s="43" t="s">
        <v>2568</v>
      </c>
      <c r="D1287" s="41" t="str">
        <f t="shared" si="20"/>
        <v>02137975</v>
      </c>
    </row>
    <row r="1288" spans="1:4" ht="17">
      <c r="A1288" s="42" t="s">
        <v>2569</v>
      </c>
      <c r="B1288" s="43">
        <v>4631</v>
      </c>
      <c r="C1288" s="43" t="s">
        <v>2570</v>
      </c>
      <c r="D1288" s="41" t="str">
        <f t="shared" si="20"/>
        <v>02138654</v>
      </c>
    </row>
    <row r="1289" spans="1:4" ht="17">
      <c r="A1289" s="42" t="s">
        <v>2571</v>
      </c>
      <c r="B1289" s="43">
        <v>4632</v>
      </c>
      <c r="C1289" s="43" t="s">
        <v>2572</v>
      </c>
      <c r="D1289" s="41" t="str">
        <f t="shared" si="20"/>
        <v>02142396</v>
      </c>
    </row>
    <row r="1290" spans="1:4" ht="17">
      <c r="A1290" s="42" t="s">
        <v>2573</v>
      </c>
      <c r="B1290" s="43">
        <v>4633</v>
      </c>
      <c r="C1290" s="43" t="s">
        <v>2574</v>
      </c>
      <c r="D1290" s="41" t="str">
        <f t="shared" si="20"/>
        <v>02142399</v>
      </c>
    </row>
    <row r="1291" spans="1:4" ht="17">
      <c r="A1291" s="42" t="s">
        <v>2575</v>
      </c>
      <c r="B1291" s="43">
        <v>4634</v>
      </c>
      <c r="C1291" s="43" t="s">
        <v>2576</v>
      </c>
      <c r="D1291" s="41" t="str">
        <f t="shared" si="20"/>
        <v>02142487</v>
      </c>
    </row>
    <row r="1292" spans="1:4" ht="17">
      <c r="A1292" s="42" t="s">
        <v>2577</v>
      </c>
      <c r="B1292" s="43">
        <v>4635</v>
      </c>
      <c r="C1292" s="43" t="s">
        <v>2578</v>
      </c>
      <c r="D1292" s="41" t="str">
        <f t="shared" si="20"/>
        <v>02142880</v>
      </c>
    </row>
    <row r="1293" spans="1:4" ht="17">
      <c r="A1293" s="42" t="s">
        <v>2579</v>
      </c>
      <c r="B1293" s="43">
        <v>4636</v>
      </c>
      <c r="C1293" s="43" t="s">
        <v>2580</v>
      </c>
      <c r="D1293" s="41" t="str">
        <f t="shared" si="20"/>
        <v>02144808</v>
      </c>
    </row>
    <row r="1294" spans="1:4" ht="17">
      <c r="A1294" s="42" t="s">
        <v>2581</v>
      </c>
      <c r="B1294" s="43">
        <v>4637</v>
      </c>
      <c r="C1294" s="43" t="s">
        <v>2582</v>
      </c>
      <c r="D1294" s="41" t="str">
        <f t="shared" si="20"/>
        <v>02145245</v>
      </c>
    </row>
    <row r="1295" spans="1:4" ht="17">
      <c r="A1295" s="42" t="s">
        <v>2583</v>
      </c>
      <c r="B1295" s="43">
        <v>4641</v>
      </c>
      <c r="C1295" s="43" t="s">
        <v>2584</v>
      </c>
      <c r="D1295" s="41" t="str">
        <f t="shared" si="20"/>
        <v>02153122</v>
      </c>
    </row>
    <row r="1296" spans="1:4" ht="17">
      <c r="A1296" s="42" t="s">
        <v>2585</v>
      </c>
      <c r="B1296" s="43">
        <v>4642</v>
      </c>
      <c r="C1296" s="43" t="s">
        <v>2586</v>
      </c>
      <c r="D1296" s="41" t="str">
        <f t="shared" si="20"/>
        <v>02163672</v>
      </c>
    </row>
    <row r="1297" spans="1:4" ht="17">
      <c r="A1297" s="42" t="s">
        <v>2587</v>
      </c>
      <c r="B1297" s="43">
        <v>4643</v>
      </c>
      <c r="C1297" s="43" t="s">
        <v>2588</v>
      </c>
      <c r="D1297" s="41" t="str">
        <f t="shared" si="20"/>
        <v>02163674</v>
      </c>
    </row>
    <row r="1298" spans="1:4" ht="17">
      <c r="A1298" s="42" t="s">
        <v>2589</v>
      </c>
      <c r="B1298" s="43">
        <v>4644</v>
      </c>
      <c r="C1298" s="43" t="s">
        <v>2590</v>
      </c>
      <c r="D1298" s="41" t="str">
        <f t="shared" si="20"/>
        <v>02164457</v>
      </c>
    </row>
    <row r="1299" spans="1:4" ht="17">
      <c r="A1299" s="42" t="s">
        <v>2591</v>
      </c>
      <c r="B1299" s="43">
        <v>4647</v>
      </c>
      <c r="C1299" s="43" t="s">
        <v>2592</v>
      </c>
      <c r="D1299" s="41" t="str">
        <f t="shared" si="20"/>
        <v>02171954</v>
      </c>
    </row>
    <row r="1300" spans="1:4" ht="17">
      <c r="A1300" s="42" t="s">
        <v>2593</v>
      </c>
      <c r="B1300" s="43">
        <v>4649</v>
      </c>
      <c r="C1300" s="43" t="s">
        <v>2594</v>
      </c>
      <c r="D1300" s="41" t="str">
        <f t="shared" si="20"/>
        <v>02172612</v>
      </c>
    </row>
    <row r="1301" spans="1:4" ht="17">
      <c r="A1301" s="42" t="s">
        <v>2595</v>
      </c>
      <c r="B1301" s="43">
        <v>4655</v>
      </c>
      <c r="C1301" s="43" t="s">
        <v>2596</v>
      </c>
      <c r="D1301" s="41" t="str">
        <f t="shared" si="20"/>
        <v>02176008</v>
      </c>
    </row>
    <row r="1302" spans="1:4" ht="17">
      <c r="A1302" s="42" t="s">
        <v>2597</v>
      </c>
      <c r="B1302" s="43">
        <v>4656</v>
      </c>
      <c r="C1302" s="43" t="s">
        <v>2598</v>
      </c>
      <c r="D1302" s="41" t="str">
        <f t="shared" si="20"/>
        <v>02177059</v>
      </c>
    </row>
    <row r="1303" spans="1:4" ht="17">
      <c r="A1303" s="42" t="s">
        <v>2599</v>
      </c>
      <c r="B1303" s="43">
        <v>4657</v>
      </c>
      <c r="C1303" s="43" t="s">
        <v>2600</v>
      </c>
      <c r="D1303" s="41" t="str">
        <f t="shared" si="20"/>
        <v>02177180</v>
      </c>
    </row>
    <row r="1304" spans="1:4" ht="17">
      <c r="A1304" s="42" t="s">
        <v>2601</v>
      </c>
      <c r="B1304" s="43">
        <v>4658</v>
      </c>
      <c r="C1304" s="43" t="s">
        <v>2602</v>
      </c>
      <c r="D1304" s="41" t="str">
        <f t="shared" si="20"/>
        <v>02177384</v>
      </c>
    </row>
    <row r="1305" spans="1:4" ht="17">
      <c r="A1305" s="42" t="s">
        <v>2603</v>
      </c>
      <c r="B1305" s="43">
        <v>4659</v>
      </c>
      <c r="C1305" s="43" t="s">
        <v>2604</v>
      </c>
      <c r="D1305" s="41" t="str">
        <f t="shared" si="20"/>
        <v>02177388</v>
      </c>
    </row>
    <row r="1306" spans="1:4" ht="17">
      <c r="A1306" s="42" t="s">
        <v>2605</v>
      </c>
      <c r="B1306" s="43">
        <v>4660</v>
      </c>
      <c r="C1306" s="43" t="s">
        <v>2606</v>
      </c>
      <c r="D1306" s="41" t="str">
        <f t="shared" si="20"/>
        <v>02177390</v>
      </c>
    </row>
    <row r="1307" spans="1:4" ht="17">
      <c r="A1307" s="42" t="s">
        <v>2607</v>
      </c>
      <c r="B1307" s="43">
        <v>4661</v>
      </c>
      <c r="C1307" s="43" t="s">
        <v>2608</v>
      </c>
      <c r="D1307" s="41" t="str">
        <f t="shared" si="20"/>
        <v>02178092</v>
      </c>
    </row>
    <row r="1308" spans="1:4" ht="17">
      <c r="A1308" s="42" t="s">
        <v>2609</v>
      </c>
      <c r="B1308" s="43">
        <v>4665</v>
      </c>
      <c r="C1308" s="43" t="s">
        <v>2610</v>
      </c>
      <c r="D1308" s="41" t="str">
        <f t="shared" si="20"/>
        <v>02180233</v>
      </c>
    </row>
    <row r="1309" spans="1:4" ht="17">
      <c r="A1309" s="42" t="s">
        <v>2611</v>
      </c>
      <c r="B1309" s="43">
        <v>4666</v>
      </c>
      <c r="C1309" s="43" t="s">
        <v>2612</v>
      </c>
      <c r="D1309" s="41" t="str">
        <f t="shared" si="20"/>
        <v>02180838</v>
      </c>
    </row>
    <row r="1310" spans="1:4" ht="17">
      <c r="A1310" s="42" t="s">
        <v>2613</v>
      </c>
      <c r="B1310" s="43">
        <v>4668</v>
      </c>
      <c r="C1310" s="43" t="s">
        <v>2614</v>
      </c>
      <c r="D1310" s="41" t="str">
        <f t="shared" si="20"/>
        <v>02182708</v>
      </c>
    </row>
    <row r="1311" spans="1:4" ht="17">
      <c r="A1311" s="42" t="s">
        <v>2615</v>
      </c>
      <c r="B1311" s="43">
        <v>4669</v>
      </c>
      <c r="C1311" s="43" t="s">
        <v>2014</v>
      </c>
      <c r="D1311" s="41" t="str">
        <f t="shared" si="20"/>
        <v>02183936</v>
      </c>
    </row>
    <row r="1312" spans="1:4" ht="17">
      <c r="A1312" s="42" t="s">
        <v>2616</v>
      </c>
      <c r="B1312" s="43">
        <v>4670</v>
      </c>
      <c r="C1312" s="43" t="s">
        <v>2617</v>
      </c>
      <c r="D1312" s="41" t="str">
        <f t="shared" si="20"/>
        <v>02184758</v>
      </c>
    </row>
    <row r="1313" spans="1:4" ht="17">
      <c r="A1313" s="42" t="s">
        <v>2618</v>
      </c>
      <c r="B1313" s="43">
        <v>4671</v>
      </c>
      <c r="C1313" s="43" t="s">
        <v>1696</v>
      </c>
      <c r="D1313" s="41" t="str">
        <f t="shared" si="20"/>
        <v>02185536</v>
      </c>
    </row>
    <row r="1314" spans="1:4" ht="17">
      <c r="A1314" s="42" t="s">
        <v>2619</v>
      </c>
      <c r="B1314" s="43">
        <v>4672</v>
      </c>
      <c r="C1314" s="43" t="s">
        <v>2620</v>
      </c>
      <c r="D1314" s="41" t="str">
        <f t="shared" si="20"/>
        <v>02185736</v>
      </c>
    </row>
    <row r="1315" spans="1:4" ht="17">
      <c r="A1315" s="42" t="s">
        <v>2621</v>
      </c>
      <c r="B1315" s="43">
        <v>4673</v>
      </c>
      <c r="C1315" s="43" t="s">
        <v>2622</v>
      </c>
      <c r="D1315" s="41" t="str">
        <f t="shared" si="20"/>
        <v>02185996</v>
      </c>
    </row>
    <row r="1316" spans="1:4" ht="17">
      <c r="A1316" s="42" t="s">
        <v>2623</v>
      </c>
      <c r="B1316" s="43">
        <v>4674</v>
      </c>
      <c r="C1316" s="43" t="s">
        <v>2624</v>
      </c>
      <c r="D1316" s="41" t="str">
        <f t="shared" si="20"/>
        <v>02188526</v>
      </c>
    </row>
  </sheetData>
  <autoFilter ref="A1:D1316" xr:uid="{A03A37EE-85AA-4F42-9F28-4D685E673BE3}"/>
  <phoneticPr fontId="2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acac3c4-e2a5-4257-af76-205c8a821ddb}" enabled="0" method="" siteId="{facac3c4-e2a5-4257-af76-205c8a821d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Revision</vt:lpstr>
      <vt:lpstr>비용내역</vt:lpstr>
      <vt:lpstr>행사사진</vt:lpstr>
      <vt:lpstr>영수증</vt:lpstr>
      <vt:lpstr>Global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INKYU PSD PARK</dc:creator>
  <cp:lastModifiedBy>JONG-PIL KIM</cp:lastModifiedBy>
  <dcterms:created xsi:type="dcterms:W3CDTF">2024-04-24T23:07:28Z</dcterms:created>
  <dcterms:modified xsi:type="dcterms:W3CDTF">2026-06-10T23:43:59Z</dcterms:modified>
</cp:coreProperties>
</file>